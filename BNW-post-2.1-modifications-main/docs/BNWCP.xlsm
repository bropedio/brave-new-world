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busemynipples\mods\ff6\lock\"/>
    </mc:Choice>
  </mc:AlternateContent>
  <xr:revisionPtr revIDLastSave="0" documentId="13_ncr:1_{0E2C1E5F-2E11-4ABA-AB52-FDB54F624AAC}" xr6:coauthVersionLast="46" xr6:coauthVersionMax="46" xr10:uidLastSave="{00000000-0000-0000-0000-000000000000}"/>
  <bookViews>
    <workbookView xWindow="8595" yWindow="2235" windowWidth="27030" windowHeight="20265" xr2:uid="{00000000-000D-0000-FFFF-FFFF00000000}"/>
  </bookViews>
  <sheets>
    <sheet name="BNWCP" sheetId="1" r:id="rId1"/>
    <sheet name="Damage" sheetId="2" r:id="rId2"/>
    <sheet name="Equips" sheetId="3" state="hidden" r:id="rId3"/>
    <sheet name="Desc" sheetId="4" state="hidden" r:id="rId4"/>
    <sheet name="Stats" sheetId="5" state="hidden" r:id="rId5"/>
    <sheet name="Enemies" sheetId="6" state="hidden" r:id="rId6"/>
  </sheets>
  <definedNames>
    <definedName name="Celes_armor">Equips!$B$97:$B$114</definedName>
    <definedName name="Celes_espers">Equips!$B$2:$B$9</definedName>
    <definedName name="Celes_helmets">Equips!$B$76:$B$94</definedName>
    <definedName name="Celes_offhand">Equips!$B$42:$B$64</definedName>
    <definedName name="Celes_relics">Equips!$B$117:$B$151</definedName>
    <definedName name="Celes_spells">Equips!$B$156:$B$179</definedName>
    <definedName name="Celes_weapons">Equips!$B$12:$B$33</definedName>
    <definedName name="Cyan_armor">Equips!$F$97:$F$110</definedName>
    <definedName name="Cyan_espers">Equips!$F$2:$F$5</definedName>
    <definedName name="Cyan_helmets">Equips!$F$76:$F$89</definedName>
    <definedName name="Cyan_offhand">Equips!$F$42:$F$42</definedName>
    <definedName name="Cyan_relics">Equips!$F$117:$F$150</definedName>
    <definedName name="Cyan_spells">Equips!$F$156:$F$168</definedName>
    <definedName name="Cyan_weapons">Equips!$F$12:$F$19</definedName>
    <definedName name="Edgar_armor">Equips!$D$97:$D$111</definedName>
    <definedName name="Edgar_espers">Equips!$D$2:$D$6</definedName>
    <definedName name="Edgar_helmets">Equips!$D$76:$D$90</definedName>
    <definedName name="Edgar_offhand">Equips!$D$42:$D$58</definedName>
    <definedName name="Edgar_relics">Equips!$D$117:$D$151</definedName>
    <definedName name="Edgar_spells">Equips!$D$156:$D$162</definedName>
    <definedName name="Edgar_weapons">Equips!$D$12:$D$33</definedName>
    <definedName name="Gau_armor">Equips!$H$97:$H$112</definedName>
    <definedName name="Gau_espers">Equips!$H$2:$H$4</definedName>
    <definedName name="Gau_helmets">Equips!$H$76:$H$85</definedName>
    <definedName name="Gau_offhand">Equips!$H$42:$H$48</definedName>
    <definedName name="Gau_relics">Equips!$H$117:$H$149</definedName>
    <definedName name="Gau_spells">Equips!$H$156:$H$223</definedName>
    <definedName name="Gau_weapons">Equips!$H$12:$H$15</definedName>
    <definedName name="Gogo_armor">Equips!$M$97:$M$108</definedName>
    <definedName name="Gogo_espers">Equips!$M$2:$M$2</definedName>
    <definedName name="Gogo_helmets">Equips!$M$76:$M$86</definedName>
    <definedName name="Gogo_offhand">Equips!$M$42:$M$56</definedName>
    <definedName name="Gogo_relics">Equips!$M$117:$M$153</definedName>
    <definedName name="Gogo_spells">Equips!$M$156:$M$245</definedName>
    <definedName name="Gogo_weapons">Equips!$M$12:$M$34</definedName>
    <definedName name="Locke_armor">Equips!$C$97:$C$108</definedName>
    <definedName name="Locke_espers">Equips!$C$2:$C$6</definedName>
    <definedName name="Locke_helmets">Equips!$C$76:$C$86</definedName>
    <definedName name="Locke_offhand">Equips!$C$42:$C$73</definedName>
    <definedName name="Locke_relics">Equips!$C$117:$C$152</definedName>
    <definedName name="Locke_spells">Equips!$C$156:$C$171</definedName>
    <definedName name="Locke_weapons">Equips!$C$12:$C$39</definedName>
    <definedName name="Mog_armor">Equips!$J$97:$J$114</definedName>
    <definedName name="Mog_espers">Equips!$J$2:$J$6</definedName>
    <definedName name="Mog_helmets">Equips!$J$76:$J$91</definedName>
    <definedName name="Mog_offhand">Equips!$J$42:$J$59</definedName>
    <definedName name="Mog_relics">Equips!$J$117:$J$152</definedName>
    <definedName name="Mog_spells">Equips!$J$156:$J$184</definedName>
    <definedName name="Mog_weapons">Equips!$J$12:$J$32</definedName>
    <definedName name="Relm_armor">Equips!$L$97:$L$109</definedName>
    <definedName name="Relm_espers">Equips!$L$2:$L$6</definedName>
    <definedName name="Relm_helmets">Equips!$L$76:$L$84</definedName>
    <definedName name="Relm_offhand">Equips!$L$42:$L$50</definedName>
    <definedName name="Relm_relics">Equips!$L$117:$L$151</definedName>
    <definedName name="Relm_spells">Equips!$L$156:$L$169</definedName>
    <definedName name="Relm_weapons">Equips!$L$12:$L$26</definedName>
    <definedName name="Sabin_armor">Equips!$E$97:$E$109</definedName>
    <definedName name="Sabin_espers">Equips!$E$2:$E$5</definedName>
    <definedName name="Sabin_helmets">Equips!$E$76:$E$84</definedName>
    <definedName name="Sabin_offhand">Equips!$E$42:$E$49</definedName>
    <definedName name="Sabin_relics">Equips!$E$117:$E$150</definedName>
    <definedName name="Sabin_spells">Equips!$E$156:$E$162</definedName>
    <definedName name="Sabin_weapons">Equips!$E$12:$E$19</definedName>
    <definedName name="Setzer_armor">Equips!$I$97:$I$109</definedName>
    <definedName name="Setzer_espers">Equips!$I$2:$I$5</definedName>
    <definedName name="Setzer_helmets">Equips!$I$76:$I$88</definedName>
    <definedName name="Setzer_offhand">Equips!$I$42:$I$62</definedName>
    <definedName name="Setzer_relics">Equips!$I$117:$I$151</definedName>
    <definedName name="Setzer_spells">Equips!$I$156:$I$165</definedName>
    <definedName name="Setzer_weapons">Equips!$I$12:$I$25</definedName>
    <definedName name="Shadow_armor">Equips!$G$97:$G$108</definedName>
    <definedName name="Shadow_espers">Equips!$G$2:$G$4</definedName>
    <definedName name="Shadow_helmets">Equips!$G$76:$G$86</definedName>
    <definedName name="Shadow_offhand">Equips!$G$42:$G$56</definedName>
    <definedName name="Shadow_relics">Equips!$G$117:$G$151</definedName>
    <definedName name="Shadow_spells">Equips!$G$156:$G$159</definedName>
    <definedName name="Shadow_weapons">Equips!$G$12:$G$36</definedName>
    <definedName name="Strago_armor">Equips!$K$97:$K$109</definedName>
    <definedName name="Strago_espers">Equips!$K$2:$K$6</definedName>
    <definedName name="Strago_helmets">Equips!$K$76:$K$85</definedName>
    <definedName name="Strago_offhand">Equips!$K$42:$K$48</definedName>
    <definedName name="Strago_relics">Equips!$K$117:$K$150</definedName>
    <definedName name="Strago_spells">Equips!$K$156:$K$173</definedName>
    <definedName name="Strago_weapons">Equips!$K$12:$K$20</definedName>
    <definedName name="Terra_armor">Equips!$A$97:$A$114</definedName>
    <definedName name="Terra_espers">Equips!$A$2:$A$9</definedName>
    <definedName name="Terra_helmets">Equips!$A$76:$A$94</definedName>
    <definedName name="Terra_offhand">Equips!$A$42:$A$64</definedName>
    <definedName name="Terra_relics">Equips!$A$117:$A$151</definedName>
    <definedName name="Terra_spells">Equips!$A$156:$A$176</definedName>
    <definedName name="Terra_weapons">Equips!$A$12:$A$33</definedName>
    <definedName name="Umaro_armor">Equips!$N$97:$N$98</definedName>
    <definedName name="Umaro_espers">Equips!$N$2:$N$2</definedName>
    <definedName name="Umaro_helmets">Equips!$N$76:$N$77</definedName>
    <definedName name="Umaro_offhand">Equips!$N$42:$N$42</definedName>
    <definedName name="Umaro_relics">Equips!$N$117:$N$149</definedName>
    <definedName name="Umaro_spells">Equips!$N$156</definedName>
    <definedName name="Umaro_weapons">Equips!$N$12:$N$15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4" l="1"/>
  <c r="E18" i="4"/>
  <c r="E17" i="4"/>
  <c r="E16" i="4"/>
  <c r="E15" i="4"/>
  <c r="E14" i="4"/>
  <c r="E13" i="4"/>
  <c r="E11" i="4"/>
  <c r="E10" i="4"/>
  <c r="E9" i="4"/>
  <c r="E7" i="4"/>
  <c r="E6" i="4"/>
  <c r="E5" i="4"/>
  <c r="E4" i="4"/>
  <c r="E2" i="4"/>
  <c r="E12" i="4" l="1"/>
  <c r="E8" i="4"/>
  <c r="L22" i="1" l="1"/>
  <c r="V6" i="2" s="1"/>
  <c r="U19" i="2" l="1"/>
  <c r="X23" i="2"/>
  <c r="U23" i="2"/>
  <c r="X20" i="2"/>
  <c r="AN1" i="6" l="1"/>
  <c r="AM1" i="6"/>
  <c r="AL1" i="6"/>
  <c r="S1" i="6"/>
  <c r="R1" i="6"/>
  <c r="Q1" i="6"/>
  <c r="P1" i="6"/>
  <c r="N1" i="6"/>
  <c r="O1" i="6"/>
  <c r="M1" i="6"/>
  <c r="L279" i="5" l="1"/>
  <c r="L320" i="5" l="1"/>
  <c r="N320" i="5"/>
  <c r="L321" i="5"/>
  <c r="L322" i="5"/>
  <c r="L323" i="5"/>
  <c r="L324" i="5"/>
  <c r="L325" i="5"/>
  <c r="B326" i="5"/>
  <c r="L326" i="5"/>
  <c r="L327" i="5"/>
  <c r="N327" i="5"/>
  <c r="L328" i="5"/>
  <c r="L329" i="5"/>
  <c r="L330" i="5"/>
  <c r="N330" i="5"/>
  <c r="L331" i="5"/>
  <c r="L332" i="5"/>
  <c r="N332" i="5"/>
  <c r="L333" i="5"/>
  <c r="L334" i="5"/>
  <c r="N334" i="5"/>
  <c r="L335" i="5"/>
  <c r="L250" i="5"/>
  <c r="L255" i="5"/>
  <c r="L258" i="5"/>
  <c r="L259" i="5"/>
  <c r="L261" i="5"/>
  <c r="N261" i="5"/>
  <c r="L262" i="5"/>
  <c r="L263" i="5"/>
  <c r="B268" i="5"/>
  <c r="L268" i="5"/>
  <c r="B269" i="5"/>
  <c r="L269" i="5"/>
  <c r="L271" i="5"/>
  <c r="L273" i="5"/>
  <c r="L274" i="5"/>
  <c r="L275" i="5"/>
  <c r="L276" i="5"/>
  <c r="N276" i="5"/>
  <c r="L277" i="5"/>
  <c r="L282" i="5"/>
  <c r="N282" i="5"/>
  <c r="L284" i="5"/>
  <c r="L285" i="5"/>
  <c r="L286" i="5"/>
  <c r="L287" i="5"/>
  <c r="L288" i="5"/>
  <c r="N288" i="5"/>
  <c r="H290" i="5"/>
  <c r="L290" i="5"/>
  <c r="H291" i="5"/>
  <c r="H292" i="5"/>
  <c r="B293" i="5"/>
  <c r="H293" i="5"/>
  <c r="L293" i="5"/>
  <c r="N293" i="5"/>
  <c r="H294" i="5"/>
  <c r="H295" i="5"/>
  <c r="H296" i="5"/>
  <c r="J296" i="5"/>
  <c r="L296" i="5"/>
  <c r="H297" i="5"/>
  <c r="L297" i="5"/>
  <c r="N297" i="5"/>
  <c r="H298" i="5"/>
  <c r="J298" i="5"/>
  <c r="L298" i="5"/>
  <c r="H299" i="5"/>
  <c r="L299" i="5"/>
  <c r="H300" i="5"/>
  <c r="J300" i="5"/>
  <c r="L300" i="5"/>
  <c r="N300" i="5"/>
  <c r="H301" i="5"/>
  <c r="L301" i="5"/>
  <c r="H302" i="5"/>
  <c r="J302" i="5"/>
  <c r="L302" i="5"/>
  <c r="N302" i="5"/>
  <c r="H303" i="5"/>
  <c r="J303" i="5"/>
  <c r="H304" i="5"/>
  <c r="H305" i="5"/>
  <c r="H306" i="5"/>
  <c r="H307" i="5"/>
  <c r="J307" i="5"/>
  <c r="L307" i="5"/>
  <c r="H308" i="5"/>
  <c r="L309" i="5"/>
  <c r="L310" i="5"/>
  <c r="L311" i="5"/>
  <c r="B312" i="5"/>
  <c r="L312" i="5"/>
  <c r="N312" i="5"/>
  <c r="L313" i="5"/>
  <c r="L314" i="5"/>
  <c r="L315" i="5"/>
  <c r="L316" i="5"/>
  <c r="L317" i="5"/>
  <c r="L318" i="5"/>
  <c r="E3" i="4" l="1"/>
  <c r="AK1" i="6" l="1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K1" i="6"/>
  <c r="L1" i="6"/>
  <c r="X21" i="2" l="1"/>
  <c r="R20" i="2"/>
  <c r="C20" i="2"/>
  <c r="X19" i="2"/>
  <c r="R19" i="2"/>
  <c r="B19" i="2"/>
  <c r="X15" i="2"/>
  <c r="N15" i="2"/>
  <c r="I15" i="2"/>
  <c r="C15" i="2"/>
  <c r="X14" i="2"/>
  <c r="I14" i="2"/>
  <c r="N14" i="2" s="1"/>
  <c r="C14" i="2"/>
  <c r="X13" i="2"/>
  <c r="I13" i="2"/>
  <c r="X9" i="2"/>
  <c r="U9" i="2"/>
  <c r="X7" i="2"/>
  <c r="K7" i="2"/>
  <c r="B7" i="2"/>
  <c r="U6" i="2"/>
  <c r="E157" i="3" s="1"/>
  <c r="X5" i="2"/>
  <c r="K5" i="2"/>
  <c r="B5" i="2"/>
  <c r="Y4" i="2"/>
  <c r="U4" i="2"/>
  <c r="R2" i="2"/>
  <c r="B2" i="2"/>
  <c r="R27" i="1"/>
  <c r="P27" i="1"/>
  <c r="O27" i="1"/>
  <c r="M27" i="1"/>
  <c r="J27" i="1"/>
  <c r="I27" i="1"/>
  <c r="H27" i="1"/>
  <c r="G27" i="1"/>
  <c r="F27" i="1"/>
  <c r="E27" i="1"/>
  <c r="R26" i="1"/>
  <c r="P26" i="1"/>
  <c r="O26" i="1"/>
  <c r="M26" i="1"/>
  <c r="J26" i="1"/>
  <c r="I26" i="1"/>
  <c r="H26" i="1"/>
  <c r="G26" i="1"/>
  <c r="F26" i="1"/>
  <c r="E26" i="1"/>
  <c r="R25" i="1"/>
  <c r="P25" i="1"/>
  <c r="O25" i="1"/>
  <c r="M25" i="1"/>
  <c r="J25" i="1"/>
  <c r="I25" i="1"/>
  <c r="H25" i="1"/>
  <c r="G25" i="1"/>
  <c r="F25" i="1"/>
  <c r="E25" i="1"/>
  <c r="R24" i="1"/>
  <c r="P24" i="1"/>
  <c r="O24" i="1"/>
  <c r="M24" i="1"/>
  <c r="J24" i="1"/>
  <c r="I24" i="1"/>
  <c r="H24" i="1"/>
  <c r="G24" i="1"/>
  <c r="F24" i="1"/>
  <c r="E24" i="1"/>
  <c r="R23" i="1"/>
  <c r="P23" i="1"/>
  <c r="O23" i="1"/>
  <c r="M23" i="1"/>
  <c r="J23" i="1"/>
  <c r="I23" i="1"/>
  <c r="H23" i="1"/>
  <c r="G23" i="1"/>
  <c r="F23" i="1"/>
  <c r="E23" i="1"/>
  <c r="R22" i="1"/>
  <c r="P22" i="1"/>
  <c r="O22" i="1"/>
  <c r="M22" i="1"/>
  <c r="J22" i="1"/>
  <c r="I22" i="1"/>
  <c r="H22" i="1"/>
  <c r="G22" i="1"/>
  <c r="F22" i="1"/>
  <c r="E22" i="1"/>
  <c r="R21" i="1"/>
  <c r="P21" i="1"/>
  <c r="L21" i="1"/>
  <c r="J21" i="1"/>
  <c r="I21" i="1"/>
  <c r="H21" i="1"/>
  <c r="G21" i="1"/>
  <c r="F21" i="1"/>
  <c r="E21" i="1"/>
  <c r="N18" i="1"/>
  <c r="N17" i="1"/>
  <c r="B17" i="1"/>
  <c r="J17" i="1" s="1"/>
  <c r="B16" i="1"/>
  <c r="J16" i="1" s="1"/>
  <c r="N15" i="1"/>
  <c r="B14" i="1"/>
  <c r="J14" i="1" s="1"/>
  <c r="N13" i="1"/>
  <c r="B12" i="1"/>
  <c r="J12" i="1" s="1"/>
  <c r="N11" i="1"/>
  <c r="B10" i="1"/>
  <c r="J10" i="1" s="1"/>
  <c r="N9" i="1"/>
  <c r="B8" i="1"/>
  <c r="J8" i="1" s="1"/>
  <c r="N7" i="1"/>
  <c r="B6" i="1"/>
  <c r="J6" i="1" s="1"/>
  <c r="R5" i="1"/>
  <c r="P5" i="1"/>
  <c r="O5" i="1"/>
  <c r="M5" i="1"/>
  <c r="L5" i="1"/>
  <c r="J5" i="1"/>
  <c r="I5" i="1"/>
  <c r="H5" i="1"/>
  <c r="G5" i="1"/>
  <c r="F5" i="1"/>
  <c r="E5" i="1"/>
  <c r="E434" i="5"/>
  <c r="D434" i="5"/>
  <c r="C434" i="5"/>
  <c r="B434" i="5"/>
  <c r="E432" i="5"/>
  <c r="E431" i="5"/>
  <c r="D431" i="5"/>
  <c r="C431" i="5"/>
  <c r="B431" i="5"/>
  <c r="E430" i="5"/>
  <c r="D430" i="5"/>
  <c r="C430" i="5"/>
  <c r="B430" i="5"/>
  <c r="E429" i="5"/>
  <c r="D429" i="5"/>
  <c r="C429" i="5"/>
  <c r="B429" i="5"/>
  <c r="E418" i="5"/>
  <c r="D418" i="5"/>
  <c r="C418" i="5"/>
  <c r="B418" i="5"/>
  <c r="E408" i="5"/>
  <c r="D408" i="5"/>
  <c r="C408" i="5"/>
  <c r="B408" i="5"/>
  <c r="E407" i="5"/>
  <c r="D407" i="5"/>
  <c r="C407" i="5"/>
  <c r="B407" i="5"/>
  <c r="E406" i="5"/>
  <c r="D406" i="5"/>
  <c r="C406" i="5"/>
  <c r="B406" i="5"/>
  <c r="E405" i="5"/>
  <c r="D405" i="5"/>
  <c r="C405" i="5"/>
  <c r="B405" i="5"/>
  <c r="E404" i="5"/>
  <c r="D404" i="5"/>
  <c r="C404" i="5"/>
  <c r="B404" i="5"/>
  <c r="E386" i="5"/>
  <c r="D386" i="5"/>
  <c r="C386" i="5"/>
  <c r="B386" i="5"/>
  <c r="E385" i="5"/>
  <c r="D385" i="5"/>
  <c r="C385" i="5"/>
  <c r="B385" i="5"/>
  <c r="E379" i="5"/>
  <c r="D379" i="5"/>
  <c r="C379" i="5"/>
  <c r="B379" i="5"/>
  <c r="E378" i="5"/>
  <c r="D378" i="5"/>
  <c r="C378" i="5"/>
  <c r="B378" i="5"/>
  <c r="E377" i="5"/>
  <c r="D377" i="5"/>
  <c r="C377" i="5"/>
  <c r="B377" i="5"/>
  <c r="E376" i="5"/>
  <c r="D376" i="5"/>
  <c r="C376" i="5"/>
  <c r="B376" i="5"/>
  <c r="E375" i="5"/>
  <c r="D375" i="5"/>
  <c r="C375" i="5"/>
  <c r="B375" i="5"/>
  <c r="K13" i="2"/>
  <c r="B6" i="2"/>
  <c r="L18" i="1"/>
  <c r="D18" i="1"/>
  <c r="L17" i="1"/>
  <c r="L15" i="1"/>
  <c r="L13" i="1"/>
  <c r="L11" i="1"/>
  <c r="L9" i="1"/>
  <c r="L7" i="1"/>
  <c r="R27" i="2" l="1"/>
  <c r="R7" i="2"/>
  <c r="X6" i="2" s="1"/>
  <c r="R25" i="2"/>
  <c r="R29" i="2"/>
  <c r="C156" i="3"/>
  <c r="U20" i="2"/>
  <c r="L28" i="1"/>
  <c r="L31" i="1" s="1"/>
  <c r="M28" i="1"/>
  <c r="M31" i="1" s="1"/>
  <c r="G4" i="2" s="1"/>
  <c r="J1" i="6"/>
  <c r="O28" i="1"/>
  <c r="O31" i="1" s="1"/>
  <c r="N4" i="2" s="1"/>
  <c r="G28" i="1"/>
  <c r="E28" i="1"/>
  <c r="K6" i="2"/>
  <c r="H28" i="1"/>
  <c r="P28" i="1"/>
  <c r="P31" i="1" s="1"/>
  <c r="M20" i="2" s="1"/>
  <c r="R28" i="1"/>
  <c r="R31" i="1" s="1"/>
  <c r="M21" i="2" s="1"/>
  <c r="J18" i="1"/>
  <c r="J28" i="1" s="1"/>
  <c r="J31" i="1" s="1"/>
  <c r="H20" i="2" s="1"/>
  <c r="F28" i="1"/>
  <c r="E17" i="1"/>
  <c r="E6" i="1"/>
  <c r="E8" i="1"/>
  <c r="E10" i="1"/>
  <c r="E12" i="1"/>
  <c r="E14" i="1"/>
  <c r="E16" i="1"/>
  <c r="F17" i="1"/>
  <c r="D156" i="3"/>
  <c r="G157" i="3"/>
  <c r="U7" i="2"/>
  <c r="R23" i="2"/>
  <c r="K27" i="2"/>
  <c r="E156" i="3"/>
  <c r="G6" i="1"/>
  <c r="G8" i="1"/>
  <c r="G10" i="1"/>
  <c r="G12" i="1"/>
  <c r="G14" i="1"/>
  <c r="G16" i="1"/>
  <c r="H17" i="1"/>
  <c r="G156" i="3"/>
  <c r="F6" i="1"/>
  <c r="F8" i="1"/>
  <c r="F10" i="1"/>
  <c r="F12" i="1"/>
  <c r="F14" i="1"/>
  <c r="F16" i="1"/>
  <c r="G17" i="1"/>
  <c r="H6" i="1"/>
  <c r="H8" i="1"/>
  <c r="H10" i="1"/>
  <c r="H12" i="1"/>
  <c r="H14" i="1"/>
  <c r="H16" i="1"/>
  <c r="I17" i="1"/>
  <c r="J156" i="3"/>
  <c r="I6" i="1"/>
  <c r="I8" i="1"/>
  <c r="I10" i="1"/>
  <c r="I12" i="1"/>
  <c r="I14" i="1"/>
  <c r="I16" i="1"/>
  <c r="K156" i="3"/>
  <c r="A156" i="3"/>
  <c r="L156" i="3"/>
  <c r="B156" i="3"/>
  <c r="M156" i="3"/>
  <c r="U5" i="2"/>
  <c r="K29" i="2"/>
  <c r="H18" i="1" l="1"/>
  <c r="H31" i="1" s="1"/>
  <c r="H22" i="2" s="1"/>
  <c r="M10" i="2" s="1"/>
  <c r="I18" i="1"/>
  <c r="I28" i="1" s="1"/>
  <c r="I31" i="1" s="1"/>
  <c r="H19" i="2" s="1"/>
  <c r="G18" i="1"/>
  <c r="G31" i="1" s="1"/>
  <c r="C22" i="2" s="1"/>
  <c r="F18" i="1"/>
  <c r="F31" i="1" s="1"/>
  <c r="H21" i="2" s="1"/>
  <c r="E18" i="1"/>
  <c r="E31" i="1" s="1"/>
  <c r="C21" i="2" s="1"/>
  <c r="K10" i="2" l="1"/>
  <c r="R6" i="2"/>
  <c r="V4" i="2" s="1"/>
  <c r="V27" i="2"/>
  <c r="V25" i="2"/>
  <c r="V29" i="2"/>
  <c r="Y20" i="2"/>
  <c r="Y29" i="2"/>
  <c r="X29" i="2" s="1"/>
  <c r="Y25" i="2"/>
  <c r="X25" i="2" s="1"/>
  <c r="Y27" i="2"/>
  <c r="X27" i="2" s="1"/>
  <c r="M27" i="2"/>
  <c r="M29" i="2"/>
  <c r="X10" i="2"/>
  <c r="Y14" i="2" s="1"/>
  <c r="Y21" i="2"/>
  <c r="M22" i="2"/>
  <c r="R21" i="2"/>
  <c r="B10" i="2"/>
  <c r="F10" i="2"/>
  <c r="G29" i="2"/>
  <c r="G27" i="2"/>
  <c r="U10" i="2" l="1"/>
  <c r="U21" i="2"/>
  <c r="U29" i="2"/>
  <c r="U27" i="2"/>
  <c r="U25" i="2"/>
  <c r="Y13" i="2"/>
  <c r="Y15" i="2"/>
  <c r="V15" i="2" l="1"/>
  <c r="U15" i="2" s="1"/>
  <c r="V14" i="2"/>
  <c r="U14" i="2" s="1"/>
  <c r="V13" i="2"/>
  <c r="U13" i="2" s="1"/>
</calcChain>
</file>

<file path=xl/sharedStrings.xml><?xml version="1.0" encoding="utf-8"?>
<sst xmlns="http://schemas.openxmlformats.org/spreadsheetml/2006/main" count="5018" uniqueCount="1283">
  <si>
    <t>Final Fantasy VI - Brave New World 2.0.0 Character Planner</t>
  </si>
  <si>
    <t>Created by Mishrak &amp; BTB</t>
  </si>
  <si>
    <t>Terra</t>
  </si>
  <si>
    <t>Lv</t>
  </si>
  <si>
    <t>Vigor</t>
  </si>
  <si>
    <t>Magic</t>
  </si>
  <si>
    <t>Speed</t>
  </si>
  <si>
    <t>Stam</t>
  </si>
  <si>
    <t>HP</t>
  </si>
  <si>
    <t>MP</t>
  </si>
  <si>
    <t>BatPwr</t>
  </si>
  <si>
    <t>Def</t>
  </si>
  <si>
    <t>M.Def</t>
  </si>
  <si>
    <t>Evade</t>
  </si>
  <si>
    <t>M.Evade</t>
  </si>
  <si>
    <t>Unicorn</t>
  </si>
  <si>
    <t>Maduin</t>
  </si>
  <si>
    <t>Carbunkl</t>
  </si>
  <si>
    <t>Bismark</t>
  </si>
  <si>
    <t>Tritoch</t>
  </si>
  <si>
    <t>Phoenix</t>
  </si>
  <si>
    <t>Ragnarok</t>
  </si>
  <si>
    <t>Base Total</t>
  </si>
  <si>
    <t>Equipment</t>
  </si>
  <si>
    <t>Weapon</t>
  </si>
  <si>
    <t>-</t>
  </si>
  <si>
    <t>Off Hand</t>
  </si>
  <si>
    <t>Helmet</t>
  </si>
  <si>
    <t>Armor</t>
  </si>
  <si>
    <t>Relic</t>
  </si>
  <si>
    <t>Esper</t>
  </si>
  <si>
    <t>Equipment Total</t>
  </si>
  <si>
    <t>Grand Total</t>
  </si>
  <si>
    <t>Defense</t>
  </si>
  <si>
    <t>M.Defense</t>
  </si>
  <si>
    <t>Damage Multipliers</t>
  </si>
  <si>
    <t xml:space="preserve">  Main Hand</t>
  </si>
  <si>
    <t>Physical Damage</t>
  </si>
  <si>
    <t>Magical Damage</t>
  </si>
  <si>
    <t>Multiplier Chart</t>
  </si>
  <si>
    <t>Max</t>
  </si>
  <si>
    <t>~</t>
  </si>
  <si>
    <t xml:space="preserve">  Bserk</t>
  </si>
  <si>
    <t xml:space="preserve">  Critical Hit</t>
  </si>
  <si>
    <t>LV</t>
  </si>
  <si>
    <t>Bat</t>
  </si>
  <si>
    <t>Mag</t>
  </si>
  <si>
    <t>(2/4/6)</t>
  </si>
  <si>
    <t>Evasion Percentages</t>
  </si>
  <si>
    <t xml:space="preserve">  Physical</t>
  </si>
  <si>
    <t>Vgr</t>
  </si>
  <si>
    <t xml:space="preserve">  Magical</t>
  </si>
  <si>
    <t>Spd</t>
  </si>
  <si>
    <t xml:space="preserve">  Status</t>
  </si>
  <si>
    <t>Periodicals</t>
  </si>
  <si>
    <t>Cover &amp; Counter</t>
  </si>
  <si>
    <t>HP%</t>
  </si>
  <si>
    <t xml:space="preserve">  Regen</t>
  </si>
  <si>
    <t xml:space="preserve">  Sap</t>
  </si>
  <si>
    <t>Celes</t>
  </si>
  <si>
    <t>Locke</t>
  </si>
  <si>
    <t>Edgar</t>
  </si>
  <si>
    <t>Sabin</t>
  </si>
  <si>
    <t>Cyan</t>
  </si>
  <si>
    <t>Shadow</t>
  </si>
  <si>
    <t>Gau</t>
  </si>
  <si>
    <t>Setzer</t>
  </si>
  <si>
    <t>Mog</t>
  </si>
  <si>
    <t>Strago</t>
  </si>
  <si>
    <t>Relm</t>
  </si>
  <si>
    <t>Gogo</t>
  </si>
  <si>
    <t>Umaro</t>
  </si>
  <si>
    <t>Ramuh</t>
  </si>
  <si>
    <t>Siren</t>
  </si>
  <si>
    <t>Stray</t>
  </si>
  <si>
    <t>Kirin</t>
  </si>
  <si>
    <t>Phantom</t>
  </si>
  <si>
    <t>Shoat</t>
  </si>
  <si>
    <t>Shiva</t>
  </si>
  <si>
    <t>Ifrit</t>
  </si>
  <si>
    <t>Golem</t>
  </si>
  <si>
    <t>Fenrir</t>
  </si>
  <si>
    <t>Seraph</t>
  </si>
  <si>
    <t>Zoneseek</t>
  </si>
  <si>
    <t>Terrato</t>
  </si>
  <si>
    <t>Crusader</t>
  </si>
  <si>
    <t>Starlet</t>
  </si>
  <si>
    <t>Palidor</t>
  </si>
  <si>
    <t>Odin</t>
  </si>
  <si>
    <t>Bahamut</t>
  </si>
  <si>
    <t>Alexandr</t>
  </si>
  <si>
    <t>Mythril Bolo</t>
  </si>
  <si>
    <t>Healing Shiv</t>
  </si>
  <si>
    <t>Mythril Claw</t>
  </si>
  <si>
    <t>Hanzo</t>
  </si>
  <si>
    <t>Club</t>
  </si>
  <si>
    <t>Mythril Pike</t>
  </si>
  <si>
    <t>Mythril Rod</t>
  </si>
  <si>
    <t>Iron Cutlass</t>
  </si>
  <si>
    <t>Spirit Claw</t>
  </si>
  <si>
    <t>Kotetsu</t>
  </si>
  <si>
    <t>Mythril Dirk</t>
  </si>
  <si>
    <t>Bone Club</t>
  </si>
  <si>
    <t>Stout Spear</t>
  </si>
  <si>
    <t>Fire Rod</t>
  </si>
  <si>
    <t>Scimitar</t>
  </si>
  <si>
    <t>Poison Claw</t>
  </si>
  <si>
    <t>Ichimonji</t>
  </si>
  <si>
    <t>Butterfly</t>
  </si>
  <si>
    <t>Magic Bone</t>
  </si>
  <si>
    <t>Trident</t>
  </si>
  <si>
    <t>Ice Rod</t>
  </si>
  <si>
    <t>Flametongue</t>
  </si>
  <si>
    <t>Ocean Claw</t>
  </si>
  <si>
    <t>Kazekiri</t>
  </si>
  <si>
    <t>Switchblade</t>
  </si>
  <si>
    <t>Fire Lance</t>
  </si>
  <si>
    <t>Thunder Rod</t>
  </si>
  <si>
    <t>Icebrand</t>
  </si>
  <si>
    <t>Hell Claw</t>
  </si>
  <si>
    <t>Murasame</t>
  </si>
  <si>
    <t>Demonsbane</t>
  </si>
  <si>
    <t>Partisan</t>
  </si>
  <si>
    <t>Quartrstaff</t>
  </si>
  <si>
    <t>Elec Sword</t>
  </si>
  <si>
    <t>Frostgore</t>
  </si>
  <si>
    <t>Masamune</t>
  </si>
  <si>
    <t>Man Eater</t>
  </si>
  <si>
    <t>Gungnir</t>
  </si>
  <si>
    <t>Doomstick</t>
  </si>
  <si>
    <t>Blood Sword</t>
  </si>
  <si>
    <t>Stormfang</t>
  </si>
  <si>
    <t>Mutsunokami</t>
  </si>
  <si>
    <t>Avenger</t>
  </si>
  <si>
    <t>Longinus</t>
  </si>
  <si>
    <t>Punisher</t>
  </si>
  <si>
    <t>Soul Sabre</t>
  </si>
  <si>
    <t>Wind Breaker</t>
  </si>
  <si>
    <t>Falchion</t>
  </si>
  <si>
    <t>Darts</t>
  </si>
  <si>
    <t>Rune Blade</t>
  </si>
  <si>
    <t>Tarot</t>
  </si>
  <si>
    <t>Zantetsuken</t>
  </si>
  <si>
    <t>Viper Darts</t>
  </si>
  <si>
    <t>Light Brush</t>
  </si>
  <si>
    <t>Excalibur</t>
  </si>
  <si>
    <t>Dice</t>
  </si>
  <si>
    <t>Monet Brush</t>
  </si>
  <si>
    <t>Atma Weapon</t>
  </si>
  <si>
    <t>Fixed Dice</t>
  </si>
  <si>
    <t>Dali Brush</t>
  </si>
  <si>
    <t>Apocalypse</t>
  </si>
  <si>
    <t>Illumina</t>
  </si>
  <si>
    <t>Ross Brush</t>
  </si>
  <si>
    <t>Boomerang</t>
  </si>
  <si>
    <t>Full Moon</t>
  </si>
  <si>
    <t>Tanto</t>
  </si>
  <si>
    <t>Rising Sun</t>
  </si>
  <si>
    <t>Kunai</t>
  </si>
  <si>
    <t>Wing Edge</t>
  </si>
  <si>
    <t>Sakura</t>
  </si>
  <si>
    <t>Ninjato</t>
  </si>
  <si>
    <t>Morning Star</t>
  </si>
  <si>
    <t>Kagenui</t>
  </si>
  <si>
    <t>Valiance</t>
  </si>
  <si>
    <t>Orochi</t>
  </si>
  <si>
    <t>Kusarigama</t>
  </si>
  <si>
    <t>Buckler</t>
  </si>
  <si>
    <t>Targe</t>
  </si>
  <si>
    <t>Iron Shield</t>
  </si>
  <si>
    <t>Flameguard</t>
  </si>
  <si>
    <t>Gold Shield</t>
  </si>
  <si>
    <t>Iceguard</t>
  </si>
  <si>
    <t>Diamond Kite</t>
  </si>
  <si>
    <t>Thunderguard</t>
  </si>
  <si>
    <t>Crystal Kite</t>
  </si>
  <si>
    <t>Multiguard</t>
  </si>
  <si>
    <t>Genji Shield</t>
  </si>
  <si>
    <t>Force Shield</t>
  </si>
  <si>
    <t>Aegis Shield</t>
  </si>
  <si>
    <t>Hero Shield</t>
  </si>
  <si>
    <t>Leather Hat</t>
  </si>
  <si>
    <t>Skull Cap</t>
  </si>
  <si>
    <t>Bandana</t>
  </si>
  <si>
    <t>Hair Band</t>
  </si>
  <si>
    <t>Green Beret</t>
  </si>
  <si>
    <t>Iron Helm</t>
  </si>
  <si>
    <t>Mythril Helm</t>
  </si>
  <si>
    <t>Tiger Mask</t>
  </si>
  <si>
    <t>Magus Hat</t>
  </si>
  <si>
    <t>Dark Hood</t>
  </si>
  <si>
    <t>Ninja Mask</t>
  </si>
  <si>
    <t>Gold Helm</t>
  </si>
  <si>
    <t>Red Cap</t>
  </si>
  <si>
    <t>Diamond Helm</t>
  </si>
  <si>
    <t>Circlet</t>
  </si>
  <si>
    <t>Cat Hood</t>
  </si>
  <si>
    <t>Crystal Helm</t>
  </si>
  <si>
    <t>Mystery Veil</t>
  </si>
  <si>
    <t>Genji Helm</t>
  </si>
  <si>
    <t>Stat Hat</t>
  </si>
  <si>
    <t>Dragon Helm</t>
  </si>
  <si>
    <t>Oath Veil</t>
  </si>
  <si>
    <t>Hard Leather</t>
  </si>
  <si>
    <t>Snow Muffler</t>
  </si>
  <si>
    <t>Cotton Robe</t>
  </si>
  <si>
    <t>Karate Gi</t>
  </si>
  <si>
    <t>Iron Armor</t>
  </si>
  <si>
    <t>Mythril Vest</t>
  </si>
  <si>
    <t>Mythril Mail</t>
  </si>
  <si>
    <t>White Dress</t>
  </si>
  <si>
    <t>Diamond Vest</t>
  </si>
  <si>
    <t>Ninja Gear</t>
  </si>
  <si>
    <t>Power Armor</t>
  </si>
  <si>
    <t>Tabby Hide</t>
  </si>
  <si>
    <t>Gaia Gear</t>
  </si>
  <si>
    <t>Gold Armor</t>
  </si>
  <si>
    <t>Light Robe</t>
  </si>
  <si>
    <t>Radiant Gown</t>
  </si>
  <si>
    <t>Gator Hide</t>
  </si>
  <si>
    <t>Chocobo Hide</t>
  </si>
  <si>
    <t>Dark Gear</t>
  </si>
  <si>
    <t>Diamond Mail</t>
  </si>
  <si>
    <t>Moogle Hide</t>
  </si>
  <si>
    <t>Crystal Mail</t>
  </si>
  <si>
    <t>Dragon Hide</t>
  </si>
  <si>
    <t>Genji Armor</t>
  </si>
  <si>
    <t>Mirage Vest</t>
  </si>
  <si>
    <t>Royal Jacket</t>
  </si>
  <si>
    <t>Force Armor</t>
  </si>
  <si>
    <t>Lazy Shell</t>
  </si>
  <si>
    <t>Minerva</t>
  </si>
  <si>
    <t>Goggles</t>
  </si>
  <si>
    <t>Bracelet</t>
  </si>
  <si>
    <t>Talisman</t>
  </si>
  <si>
    <t>Fairy Charm</t>
  </si>
  <si>
    <t>Spirit Stone</t>
  </si>
  <si>
    <t>Amulet</t>
  </si>
  <si>
    <t>Ribbon</t>
  </si>
  <si>
    <t>Quartz Charm</t>
  </si>
  <si>
    <t>Safety Glove</t>
  </si>
  <si>
    <t>Barrier Cube</t>
  </si>
  <si>
    <t>Sprint Shoes</t>
  </si>
  <si>
    <t>Life Bell</t>
  </si>
  <si>
    <t>Hyper Wrist</t>
  </si>
  <si>
    <t>Guard Ring</t>
  </si>
  <si>
    <t>Wall Ring</t>
  </si>
  <si>
    <t>Reflect Ring</t>
  </si>
  <si>
    <t>Ghost Ring</t>
  </si>
  <si>
    <t>Knight Cape</t>
  </si>
  <si>
    <t>White Cape</t>
  </si>
  <si>
    <t>Zephyr Cape</t>
  </si>
  <si>
    <t>Back Guard</t>
  </si>
  <si>
    <t>Black Belt</t>
  </si>
  <si>
    <t>Power Glove</t>
  </si>
  <si>
    <t>Magic Cube</t>
  </si>
  <si>
    <t>Stat Stick</t>
  </si>
  <si>
    <t>Hero Ring</t>
  </si>
  <si>
    <t>Muscle Belt</t>
  </si>
  <si>
    <t>Crystal Orb</t>
  </si>
  <si>
    <t>Black Heart</t>
  </si>
  <si>
    <t>Mystery Egg</t>
  </si>
  <si>
    <t>Blizzard Orb</t>
  </si>
  <si>
    <t>Gale Hairpin</t>
  </si>
  <si>
    <t>Thief Glove</t>
  </si>
  <si>
    <t>Dragoon Seal</t>
  </si>
  <si>
    <t>Nirvana Band</t>
  </si>
  <si>
    <t>Rogue Cloak</t>
  </si>
  <si>
    <t>Daryl's Soul</t>
  </si>
  <si>
    <t>Sage Stone</t>
  </si>
  <si>
    <t>Gem Box</t>
  </si>
  <si>
    <t>Soul Box</t>
  </si>
  <si>
    <t>Memento Ring</t>
  </si>
  <si>
    <t>Heiji's Coin</t>
  </si>
  <si>
    <t>Moogle Charm</t>
  </si>
  <si>
    <t>•Fire</t>
  </si>
  <si>
    <t>•Ice</t>
  </si>
  <si>
    <t>•Rasp</t>
  </si>
  <si>
    <t>•Storm</t>
  </si>
  <si>
    <t>•Fire 3</t>
  </si>
  <si>
    <t>•Sap</t>
  </si>
  <si>
    <t>•Fire 2</t>
  </si>
  <si>
    <t>•Ice 2</t>
  </si>
  <si>
    <t>•Quake</t>
  </si>
  <si>
    <t>•Merton</t>
  </si>
  <si>
    <t>•Bolt 2</t>
  </si>
  <si>
    <t>•Poison</t>
  </si>
  <si>
    <t>•Ice 3</t>
  </si>
  <si>
    <t>•Cure 2</t>
  </si>
  <si>
    <t>•Drain</t>
  </si>
  <si>
    <t>•Demi</t>
  </si>
  <si>
    <t>•Regen</t>
  </si>
  <si>
    <t>•Break</t>
  </si>
  <si>
    <t>•Dark</t>
  </si>
  <si>
    <t>•Flare</t>
  </si>
  <si>
    <t>•Bolt</t>
  </si>
  <si>
    <t>•Remedy</t>
  </si>
  <si>
    <t>•Quartr</t>
  </si>
  <si>
    <t>•Meteor</t>
  </si>
  <si>
    <t>•Bolt 3</t>
  </si>
  <si>
    <t>•Cure 3</t>
  </si>
  <si>
    <t>•Osmose</t>
  </si>
  <si>
    <t>•Cure</t>
  </si>
  <si>
    <t>•Holy</t>
  </si>
  <si>
    <t>Avalanche</t>
  </si>
  <si>
    <t>Aqualung</t>
  </si>
  <si>
    <t>•Ultima</t>
  </si>
  <si>
    <t>Bedevil</t>
  </si>
  <si>
    <t>Black Omen</t>
  </si>
  <si>
    <t>Blizzard</t>
  </si>
  <si>
    <t>Blaze</t>
  </si>
  <si>
    <t>Cave In</t>
  </si>
  <si>
    <t>Blow Fish</t>
  </si>
  <si>
    <t>Holy Wind</t>
  </si>
  <si>
    <t>El Nino</t>
  </si>
  <si>
    <t>Raid</t>
  </si>
  <si>
    <t>Elf Fire</t>
  </si>
  <si>
    <t>Raze</t>
  </si>
  <si>
    <t>Moonlight</t>
  </si>
  <si>
    <t>Tsunami</t>
  </si>
  <si>
    <t>Plasma</t>
  </si>
  <si>
    <t>Razor Leaf</t>
  </si>
  <si>
    <t>Sand Storm</t>
  </si>
  <si>
    <t>Chakra</t>
  </si>
  <si>
    <t>Surge</t>
  </si>
  <si>
    <t>Tapir</t>
  </si>
  <si>
    <t>Toxic Frog</t>
  </si>
  <si>
    <t>Wild Boars</t>
  </si>
  <si>
    <t>Wind Slash</t>
  </si>
  <si>
    <t>Wombat</t>
  </si>
  <si>
    <t>Harvester</t>
  </si>
  <si>
    <t>Sun Bath</t>
  </si>
  <si>
    <t>Absolute 0</t>
  </si>
  <si>
    <t>Acid Rain</t>
  </si>
  <si>
    <t>Aero</t>
  </si>
  <si>
    <t>Air Blast</t>
  </si>
  <si>
    <t>Atomic Ray</t>
  </si>
  <si>
    <t>Bio Blast</t>
  </si>
  <si>
    <t>Blight</t>
  </si>
  <si>
    <t>Brown Note</t>
  </si>
  <si>
    <t>Diffuser</t>
  </si>
  <si>
    <t>Cockatrice</t>
  </si>
  <si>
    <t>Discharge</t>
  </si>
  <si>
    <t>Fireball</t>
  </si>
  <si>
    <t>Firestorm</t>
  </si>
  <si>
    <t>Flash Rain</t>
  </si>
  <si>
    <t>Gale Cut</t>
  </si>
  <si>
    <t>Giga Volt</t>
  </si>
  <si>
    <t>Landslide</t>
  </si>
  <si>
    <t>Lode Stone</t>
  </si>
  <si>
    <t>Magnitude</t>
  </si>
  <si>
    <t>Mega Volt</t>
  </si>
  <si>
    <t>Meteo</t>
  </si>
  <si>
    <t>Rock</t>
  </si>
  <si>
    <t>Shrapnel</t>
  </si>
  <si>
    <t>Snowball</t>
  </si>
  <si>
    <t>Starlight</t>
  </si>
  <si>
    <t>Step Mine</t>
  </si>
  <si>
    <t>Tentacle</t>
  </si>
  <si>
    <t>Item</t>
  </si>
  <si>
    <t>Description</t>
  </si>
  <si>
    <t>Resistances</t>
  </si>
  <si>
    <t>Holy</t>
  </si>
  <si>
    <t>Auto-Haste (blocks “Slow”)</t>
  </si>
  <si>
    <t>Dark</t>
  </si>
  <si>
    <t>Physical output +25%</t>
  </si>
  <si>
    <t>Fire</t>
  </si>
  <si>
    <t>Blocks “Sleep”, “Muddle”, “Bserk”</t>
  </si>
  <si>
    <t>Ice</t>
  </si>
  <si>
    <t>Uses MP for critical hits, may cast Flare</t>
  </si>
  <si>
    <t>Bolt</t>
  </si>
  <si>
    <t>Attacks with stamina, weaker at low HP</t>
  </si>
  <si>
    <t>Water</t>
  </si>
  <si>
    <t>Holy damage</t>
  </si>
  <si>
    <t>Dark/Fire</t>
  </si>
  <si>
    <t>Prevents back attacks</t>
  </si>
  <si>
    <t>Fire/Water</t>
  </si>
  <si>
    <t>Auto-Safe</t>
  </si>
  <si>
    <t>Ice/Water</t>
  </si>
  <si>
    <t>Bolt/Water</t>
  </si>
  <si>
    <t>Sets Shell on low HP</t>
  </si>
  <si>
    <t>Dark/Wind</t>
  </si>
  <si>
    <t>Halves Water damage</t>
  </si>
  <si>
    <t>Fire/Wind</t>
  </si>
  <si>
    <t>“Fight” always hits, May counter-attack</t>
  </si>
  <si>
    <t>Ice/Wind</t>
  </si>
  <si>
    <t>Blocks Poison/Holy damage (weak to all else)</t>
  </si>
  <si>
    <t>Bolt/Wind</t>
  </si>
  <si>
    <t>Magical output +25%, blocks Fire damage</t>
  </si>
  <si>
    <t>Water/Wind</t>
  </si>
  <si>
    <t>May cast Drain</t>
  </si>
  <si>
    <t>Earth/Wind</t>
  </si>
  <si>
    <t>Wind</t>
  </si>
  <si>
    <t>Strong vs. flying foes (ignores row)</t>
  </si>
  <si>
    <t>Earth</t>
  </si>
  <si>
    <t>Blocks “Poison”</t>
  </si>
  <si>
    <t>2x damage to humans</t>
  </si>
  <si>
    <t>Auto-Regen (blocks “Sap”)</t>
  </si>
  <si>
    <t>Halves Water/Wind damage</t>
  </si>
  <si>
    <t>Auto-Rflect</t>
  </si>
  <si>
    <t>Halves Wind damage</t>
  </si>
  <si>
    <t>Magical output +25%</t>
  </si>
  <si>
    <t>May cast Shell (Cures HP, hits 2x)</t>
  </si>
  <si>
    <t>(Ignores row)</t>
  </si>
  <si>
    <t>“Fight” hits 2x</t>
  </si>
  <si>
    <t>Undead slayer</t>
  </si>
  <si>
    <t>Halves Bolt damage</t>
  </si>
  <si>
    <t>Damage = (2Lv. * D1 * D2 - ignores row, always hits)</t>
  </si>
  <si>
    <t>May cast Doom (MP crit = X-Zone)</t>
  </si>
  <si>
    <t>“Jump” randomly hits 2x</t>
  </si>
  <si>
    <t>Halves Fire/Wind damage</t>
  </si>
  <si>
    <t>“Fight” to “Jump”, sword spellcast rate up</t>
  </si>
  <si>
    <t>Bolt damage, may cast Bolt 2</t>
  </si>
  <si>
    <t>Uses MP for critical hits (2hand)</t>
  </si>
  <si>
    <t>Blocks “Sleep”, “Muddle”</t>
  </si>
  <si>
    <t>May counter-attack</t>
  </si>
  <si>
    <t>Fire damage (2hand, may guard allies)</t>
  </si>
  <si>
    <t>May cast Fire 2 (MP crit = 2x spell damage)</t>
  </si>
  <si>
    <t>Damage = (2Lv. * D1 * D2 * D3 – ignores row, always hits)</t>
  </si>
  <si>
    <t>Absorbs Fire damage</t>
  </si>
  <si>
    <t>Fire damage, may cast Fire 2</t>
  </si>
  <si>
    <t>Halves Fire/Ice/Bolt damage</t>
  </si>
  <si>
    <t>Auto-Shell</t>
  </si>
  <si>
    <t>Ice damage, may cast Ice</t>
  </si>
  <si>
    <t>Halves Earth damage</t>
  </si>
  <si>
    <t>Pre-emptive attack rate up</t>
  </si>
  <si>
    <t>MP costs = 1/2</t>
  </si>
  <si>
    <t>Makes wearer undead</t>
  </si>
  <si>
    <t>Blocks “Blind”</t>
  </si>
  <si>
    <t>Always hits (2hand, may guard allies)</t>
  </si>
  <si>
    <t>(2hand)</t>
  </si>
  <si>
    <t>Cures HP</t>
  </si>
  <si>
    <t>“Slot” to “GP Toss”</t>
  </si>
  <si>
    <t>Fire damage, may cast Fire</t>
  </si>
  <si>
    <t>May guard allies</t>
  </si>
  <si>
    <t>Auto-Bserk</t>
  </si>
  <si>
    <t>May cast Ice 2 (MP crit = 2x spell damage)</t>
  </si>
  <si>
    <t>Ice damage, may cast Ice 2</t>
  </si>
  <si>
    <t>Absorbs Ice damage</t>
  </si>
  <si>
    <t>High critical rate, can insta-kill (2hand)</t>
  </si>
  <si>
    <t>Halves Fire damage</t>
  </si>
  <si>
    <t>Uses MP for critical hits, may cast Holy</t>
  </si>
  <si>
    <t>“Fight” hits 2x, may set “Stop”/”Slow”</t>
  </si>
  <si>
    <t>May hit all foes with stamina-based wind attack (2hand)</t>
  </si>
  <si>
    <t>May counter-attack (2hand)</t>
  </si>
  <si>
    <t>Strong vs. flying foes</t>
  </si>
  <si>
    <t>2x damage to humans, may set “Stop”/”Slow”</t>
  </si>
  <si>
    <t>Halves Bolt/Wind damage</t>
  </si>
  <si>
    <t>(Cures HP, hits 2x)</t>
  </si>
  <si>
    <t>Holy damage (2hand, may guard allies)</t>
  </si>
  <si>
    <t>Teaches Rerise (x4)</t>
  </si>
  <si>
    <t>Blocks Fire/Ice/Bolt damage</t>
  </si>
  <si>
    <t>May cast Safe (Cures HP, hits 2x)</t>
  </si>
  <si>
    <t>“Dance” isn't permanent, “Jump” is quicker</t>
  </si>
  <si>
    <t>Halves Earth/Wind damage</t>
  </si>
  <si>
    <t>Ignores defense</t>
  </si>
  <si>
    <t>Absorbs Fire/Ice/Bolt damage</t>
  </si>
  <si>
    <t>It's a mystery</t>
  </si>
  <si>
    <t>Sword spellcast rate up</t>
  </si>
  <si>
    <t>(2hand, may guard allies)</t>
  </si>
  <si>
    <t>(Uses MP for critical hits)</t>
  </si>
  <si>
    <t>All output +25%</t>
  </si>
  <si>
    <t>Water damage, may cast Drain</t>
  </si>
  <si>
    <t>Plumed Hat</t>
  </si>
  <si>
    <t>Poison damage, may cast Sap</t>
  </si>
  <si>
    <t>May cast Dark (MP crit = 2x spell damage)</t>
  </si>
  <si>
    <t>May cast Quartr (MP crit = hits all foes)</t>
  </si>
  <si>
    <t>Auto-Safe/Shell</t>
  </si>
  <si>
    <t>Brush spellcast rate up</t>
  </si>
  <si>
    <t>Blocks instant death &amp; “Petrify”</t>
  </si>
  <si>
    <t>“Fight” always hits, magical output +25%</t>
  </si>
  <si>
    <t>May cast Rflect (Cures HP/hits 2x)</t>
  </si>
  <si>
    <t>Uses MP for critical hits</t>
  </si>
  <si>
    <t>Sets Safe on low HP</t>
  </si>
  <si>
    <t>“Magic” to “X-Magic”</t>
  </si>
  <si>
    <t>May cast Break</t>
  </si>
  <si>
    <t>Blocks “Sleep”, “Petrify”, “Death”</t>
  </si>
  <si>
    <t>Halves Ice Damage</t>
  </si>
  <si>
    <t>Blocks Ice/Wind damage</t>
  </si>
  <si>
    <t>May cast Osmose</t>
  </si>
  <si>
    <t>Holy damage, may cast Slow</t>
  </si>
  <si>
    <t>Blocks “Blind”, “Poison”, “Petrify”</t>
  </si>
  <si>
    <t>Bolt damage, may cast Bolt</t>
  </si>
  <si>
    <t>Physical output +25%, blocks Bolt damage</t>
  </si>
  <si>
    <t>May steal from foe</t>
  </si>
  <si>
    <t>Blocks “Blind”, “Poison”</t>
  </si>
  <si>
    <t>Holy damage, undead-slayer (ignores row)</t>
  </si>
  <si>
    <t>“Steal” to “Mug”, physical output +25%</t>
  </si>
  <si>
    <t>May cast Bolt 2 (MP crit = 2x spell damage)</t>
  </si>
  <si>
    <t>Absorbs Bolt damage</t>
  </si>
  <si>
    <t>Water damage (2hand, may guard allies)</t>
  </si>
  <si>
    <t>Ignores defense, stronger at low HP</t>
  </si>
  <si>
    <t>Uses MP for critical hits (ignores row)</t>
  </si>
  <si>
    <t>Blocks “Imp”, “Mute”, “Bserk”</t>
  </si>
  <si>
    <t>May hit all foes with stamina-based wind attack</t>
  </si>
  <si>
    <t>May counter-attack, always hits, high crit rate, can insta-kill</t>
  </si>
  <si>
    <t>Sets Haste on low HP</t>
  </si>
  <si>
    <t>Character</t>
  </si>
  <si>
    <t>Stamina</t>
  </si>
  <si>
    <t>Eva</t>
  </si>
  <si>
    <t>M.Eva</t>
  </si>
  <si>
    <t>2-Hand</t>
  </si>
  <si>
    <t>Spear</t>
  </si>
  <si>
    <t>Weak</t>
  </si>
  <si>
    <t>Def/Row</t>
  </si>
  <si>
    <t>Shield</t>
  </si>
  <si>
    <t>Phys (+)</t>
  </si>
  <si>
    <t>Mag (+)</t>
  </si>
  <si>
    <t>Attack</t>
  </si>
  <si>
    <t>Pwr</t>
  </si>
  <si>
    <t>ITD?</t>
  </si>
  <si>
    <t>Stam?</t>
  </si>
  <si>
    <t>Weak/Res</t>
  </si>
  <si>
    <t>Split</t>
  </si>
  <si>
    <t>Dance</t>
  </si>
  <si>
    <t>Step</t>
  </si>
  <si>
    <t>Rage</t>
  </si>
  <si>
    <t>Odds</t>
  </si>
  <si>
    <t xml:space="preserve">  Witch</t>
  </si>
  <si>
    <t xml:space="preserve">  Rain Man</t>
  </si>
  <si>
    <t xml:space="preserve">  Sewer Rat</t>
  </si>
  <si>
    <t xml:space="preserve">  Raven</t>
  </si>
  <si>
    <t xml:space="preserve">  Gargoyle</t>
  </si>
  <si>
    <t xml:space="preserve">  Weedula</t>
  </si>
  <si>
    <t xml:space="preserve">  Shokan</t>
  </si>
  <si>
    <t xml:space="preserve">  Revenant</t>
  </si>
  <si>
    <t xml:space="preserve">  Spirit</t>
  </si>
  <si>
    <t xml:space="preserve">  Lich</t>
  </si>
  <si>
    <t xml:space="preserve">  Magic Pot</t>
  </si>
  <si>
    <t xml:space="preserve">  Soldier</t>
  </si>
  <si>
    <t xml:space="preserve">  Tumbleweed</t>
  </si>
  <si>
    <t xml:space="preserve">  Werewolf</t>
  </si>
  <si>
    <t xml:space="preserve">  Kudzu (RegenX)</t>
  </si>
  <si>
    <t xml:space="preserve">  Templar</t>
  </si>
  <si>
    <t>*</t>
  </si>
  <si>
    <t xml:space="preserve">  Scrapper</t>
  </si>
  <si>
    <t xml:space="preserve">  Ninja</t>
  </si>
  <si>
    <t xml:space="preserve">  (No X-Magic)</t>
  </si>
  <si>
    <t xml:space="preserve">  Chimera</t>
  </si>
  <si>
    <t xml:space="preserve">  Belladonna</t>
  </si>
  <si>
    <t xml:space="preserve">  Brainpan</t>
  </si>
  <si>
    <t xml:space="preserve">  Kudzu</t>
  </si>
  <si>
    <t xml:space="preserve">  Adamantite</t>
  </si>
  <si>
    <t xml:space="preserve">  Mesosaur</t>
  </si>
  <si>
    <t xml:space="preserve">  Earth Blues</t>
  </si>
  <si>
    <t xml:space="preserve">  Titan</t>
  </si>
  <si>
    <t xml:space="preserve">  Love Sonata</t>
  </si>
  <si>
    <t xml:space="preserve">  Snowman Jazz</t>
  </si>
  <si>
    <t xml:space="preserve">  Dusk Requiem</t>
  </si>
  <si>
    <t xml:space="preserve">  Zombone</t>
  </si>
  <si>
    <t xml:space="preserve">  Grizzly</t>
  </si>
  <si>
    <t xml:space="preserve">  Wind Song</t>
  </si>
  <si>
    <t xml:space="preserve">  Water Rondo</t>
  </si>
  <si>
    <t xml:space="preserve">  Forest Suite</t>
  </si>
  <si>
    <t xml:space="preserve">  Vulture</t>
  </si>
  <si>
    <t xml:space="preserve">  Rocky</t>
  </si>
  <si>
    <t xml:space="preserve">  Vaporite</t>
  </si>
  <si>
    <t xml:space="preserve">  Desert Aria</t>
  </si>
  <si>
    <t xml:space="preserve">  Sand Ray</t>
  </si>
  <si>
    <t xml:space="preserve">  Rhydon</t>
  </si>
  <si>
    <t xml:space="preserve">  Leafer</t>
  </si>
  <si>
    <t xml:space="preserve">  Nastidon</t>
  </si>
  <si>
    <t xml:space="preserve">  Windrunner</t>
  </si>
  <si>
    <t xml:space="preserve">  Griffin</t>
  </si>
  <si>
    <t xml:space="preserve">  Io</t>
  </si>
  <si>
    <t xml:space="preserve">  Marlboro</t>
  </si>
  <si>
    <t xml:space="preserve">  Onion Kid</t>
  </si>
  <si>
    <t xml:space="preserve">  Anemone</t>
  </si>
  <si>
    <t xml:space="preserve">  Albatross</t>
  </si>
  <si>
    <t xml:space="preserve">  Tyrano</t>
  </si>
  <si>
    <t xml:space="preserve">  Vagrant</t>
  </si>
  <si>
    <t xml:space="preserve">  Locust</t>
  </si>
  <si>
    <t xml:space="preserve">  Buffalax</t>
  </si>
  <si>
    <t xml:space="preserve">  Eye Goo</t>
  </si>
  <si>
    <t xml:space="preserve">  Crawler</t>
  </si>
  <si>
    <t xml:space="preserve">  Scarab</t>
  </si>
  <si>
    <t xml:space="preserve">  Behemoth</t>
  </si>
  <si>
    <t xml:space="preserve">  Exocite</t>
  </si>
  <si>
    <t xml:space="preserve">  Mantodea</t>
  </si>
  <si>
    <t xml:space="preserve">  Stray Cat</t>
  </si>
  <si>
    <t xml:space="preserve">  Repo Man</t>
  </si>
  <si>
    <t xml:space="preserve">  Doggo</t>
  </si>
  <si>
    <t xml:space="preserve">  Cephalid</t>
  </si>
  <si>
    <t>Cyclonic</t>
  </si>
  <si>
    <t>Flare Star</t>
  </si>
  <si>
    <t>Goner</t>
  </si>
  <si>
    <t>Grav Bomb</t>
  </si>
  <si>
    <t>Hyperdrive</t>
  </si>
  <si>
    <t>Lifeshaver</t>
  </si>
  <si>
    <t>Missile</t>
  </si>
  <si>
    <t>Pointy Stick</t>
  </si>
  <si>
    <t>Purge</t>
  </si>
  <si>
    <t>Quasar</t>
  </si>
  <si>
    <t>S. Cross</t>
  </si>
  <si>
    <t>Shock Wave</t>
  </si>
  <si>
    <t>Spoon</t>
  </si>
  <si>
    <t>Tek Laser</t>
  </si>
  <si>
    <t>Thriller</t>
  </si>
  <si>
    <t>Proc</t>
  </si>
  <si>
    <t>Spell</t>
  </si>
  <si>
    <t>Level</t>
  </si>
  <si>
    <t>Enemy List</t>
  </si>
  <si>
    <t>Enemy</t>
  </si>
  <si>
    <t>Mdef</t>
  </si>
  <si>
    <t>INTRO</t>
  </si>
  <si>
    <t>Guard</t>
  </si>
  <si>
    <t>Captain</t>
  </si>
  <si>
    <t>Strike</t>
  </si>
  <si>
    <t>Zombie</t>
  </si>
  <si>
    <t>Infect</t>
  </si>
  <si>
    <t>Lobo</t>
  </si>
  <si>
    <t>Soldier</t>
  </si>
  <si>
    <t>Blow</t>
  </si>
  <si>
    <t>Whelk</t>
  </si>
  <si>
    <t>Officer</t>
  </si>
  <si>
    <t>Thrust</t>
  </si>
  <si>
    <t>Trooper</t>
  </si>
  <si>
    <t>Bayonet</t>
  </si>
  <si>
    <t>Commando</t>
  </si>
  <si>
    <t>Penetrate</t>
  </si>
  <si>
    <t>NARSHE/FIGARO</t>
  </si>
  <si>
    <t>Phalanx</t>
  </si>
  <si>
    <t>Safe</t>
  </si>
  <si>
    <t>Shell</t>
  </si>
  <si>
    <t>Cut</t>
  </si>
  <si>
    <t>Templar</t>
  </si>
  <si>
    <t>Hew</t>
  </si>
  <si>
    <t>Leafer</t>
  </si>
  <si>
    <t>Centurion</t>
  </si>
  <si>
    <t>Slice</t>
  </si>
  <si>
    <t>Raven</t>
  </si>
  <si>
    <t>Repo Man</t>
  </si>
  <si>
    <t>Wrench</t>
  </si>
  <si>
    <t>Sand Ray</t>
  </si>
  <si>
    <t>Mechanix</t>
  </si>
  <si>
    <t>Pipewrench</t>
  </si>
  <si>
    <t>Antlion</t>
  </si>
  <si>
    <t>Junkie</t>
  </si>
  <si>
    <t>Crack Pipe</t>
  </si>
  <si>
    <t>Scrapper</t>
  </si>
  <si>
    <t>Punch</t>
  </si>
  <si>
    <t>FIGARO CAVE</t>
  </si>
  <si>
    <t>Fighter</t>
  </si>
  <si>
    <t>Kick</t>
  </si>
  <si>
    <t>Brawler</t>
  </si>
  <si>
    <t>Headbutt</t>
  </si>
  <si>
    <t>Hornet</t>
  </si>
  <si>
    <t>Hobo</t>
  </si>
  <si>
    <t>Hook</t>
  </si>
  <si>
    <t>Crawler</t>
  </si>
  <si>
    <t>Drifter</t>
  </si>
  <si>
    <t>Knife</t>
  </si>
  <si>
    <t>Eye Goo</t>
  </si>
  <si>
    <t>Vagrant</t>
  </si>
  <si>
    <t>Slash</t>
  </si>
  <si>
    <t>Slamdancer</t>
  </si>
  <si>
    <t>Whiskey</t>
  </si>
  <si>
    <t>SOUTH FIGARO</t>
  </si>
  <si>
    <t>Souldancer</t>
  </si>
  <si>
    <t>Tango</t>
  </si>
  <si>
    <t>Tapdancer</t>
  </si>
  <si>
    <t>Foxtrot</t>
  </si>
  <si>
    <t>Rain Man</t>
  </si>
  <si>
    <t>Umbrella</t>
  </si>
  <si>
    <t>Foamy</t>
  </si>
  <si>
    <t>Umbro</t>
  </si>
  <si>
    <t>Ella</t>
  </si>
  <si>
    <t>Rhyhorn</t>
  </si>
  <si>
    <t>Parasoul</t>
  </si>
  <si>
    <t>Conjurer</t>
  </si>
  <si>
    <t>Frazzle</t>
  </si>
  <si>
    <t>MT. KOLTZ</t>
  </si>
  <si>
    <t>Warlock</t>
  </si>
  <si>
    <t>Hush</t>
  </si>
  <si>
    <t>Wizard</t>
  </si>
  <si>
    <t>Quell</t>
  </si>
  <si>
    <t>Onion Kid</t>
  </si>
  <si>
    <t>Trigger</t>
  </si>
  <si>
    <t>Vaporite</t>
  </si>
  <si>
    <t>Tiny Tim</t>
  </si>
  <si>
    <t>Bloodlust</t>
  </si>
  <si>
    <t>Tusker</t>
  </si>
  <si>
    <t>Iron Man</t>
  </si>
  <si>
    <t>Roid Rage</t>
  </si>
  <si>
    <t>Condor</t>
  </si>
  <si>
    <t>Dahling</t>
  </si>
  <si>
    <t>Speechless</t>
  </si>
  <si>
    <t>Trillium</t>
  </si>
  <si>
    <t>Madam</t>
  </si>
  <si>
    <t>Restless</t>
  </si>
  <si>
    <t>Vargas</t>
  </si>
  <si>
    <t>Maiden</t>
  </si>
  <si>
    <t>Loveless</t>
  </si>
  <si>
    <t>Succubus</t>
  </si>
  <si>
    <t>Science</t>
  </si>
  <si>
    <t>LETE RIVER</t>
  </si>
  <si>
    <t>Banshee</t>
  </si>
  <si>
    <t>Shriek</t>
  </si>
  <si>
    <t>Witch</t>
  </si>
  <si>
    <t>Wand</t>
  </si>
  <si>
    <t>Albatross</t>
  </si>
  <si>
    <t>Fiend</t>
  </si>
  <si>
    <t>Probe</t>
  </si>
  <si>
    <t>Exocite</t>
  </si>
  <si>
    <t>Giant</t>
  </si>
  <si>
    <t>Shocker</t>
  </si>
  <si>
    <t>Nautiloid</t>
  </si>
  <si>
    <t>Titan</t>
  </si>
  <si>
    <t>Dominate</t>
  </si>
  <si>
    <t>Avalance</t>
  </si>
  <si>
    <t>Ultros I</t>
  </si>
  <si>
    <t>Colossus</t>
  </si>
  <si>
    <t>Squish</t>
  </si>
  <si>
    <t>Ninja</t>
  </si>
  <si>
    <t>Vanish</t>
  </si>
  <si>
    <t>Ninja Wave</t>
  </si>
  <si>
    <t>NARSHE MINES</t>
  </si>
  <si>
    <t>Shinobi</t>
  </si>
  <si>
    <t>Clear</t>
  </si>
  <si>
    <t>Ninja Fire</t>
  </si>
  <si>
    <t>Assassin</t>
  </si>
  <si>
    <t>Disappear</t>
  </si>
  <si>
    <t>Ninja Bolt</t>
  </si>
  <si>
    <t>Shokan</t>
  </si>
  <si>
    <t>Taint</t>
  </si>
  <si>
    <t>Sewer Rat</t>
  </si>
  <si>
    <t>Tarokan</t>
  </si>
  <si>
    <t>Defile</t>
  </si>
  <si>
    <t>Mammoth</t>
  </si>
  <si>
    <t>Gorokan</t>
  </si>
  <si>
    <t>Desecrate</t>
  </si>
  <si>
    <t>Clawglip</t>
  </si>
  <si>
    <t>Samurai</t>
  </si>
  <si>
    <t>Eviscerate</t>
  </si>
  <si>
    <t>Pug</t>
  </si>
  <si>
    <t>Retainer</t>
  </si>
  <si>
    <t>Disembowel</t>
  </si>
  <si>
    <t>Katanasoul</t>
  </si>
  <si>
    <t>Slayer</t>
  </si>
  <si>
    <t>S.FIG BASEMENT</t>
  </si>
  <si>
    <t>Siegfried</t>
  </si>
  <si>
    <t>Mishamune</t>
  </si>
  <si>
    <t>Wight</t>
  </si>
  <si>
    <t>Subcon</t>
  </si>
  <si>
    <t>Wraith</t>
  </si>
  <si>
    <t>Impmare</t>
  </si>
  <si>
    <t>Doberman</t>
  </si>
  <si>
    <t>Revenant</t>
  </si>
  <si>
    <t>Farewell</t>
  </si>
  <si>
    <t>Lich</t>
  </si>
  <si>
    <t>Deja Vu</t>
  </si>
  <si>
    <t>Powerslave</t>
  </si>
  <si>
    <t>Ed Hunter</t>
  </si>
  <si>
    <t>Thanatos</t>
  </si>
  <si>
    <t>Pike</t>
  </si>
  <si>
    <t>Reaper</t>
  </si>
  <si>
    <t>Lance</t>
  </si>
  <si>
    <t>Trilobite</t>
  </si>
  <si>
    <t>Death</t>
  </si>
  <si>
    <t>Impale</t>
  </si>
  <si>
    <t>Bear</t>
  </si>
  <si>
    <t>Spirit</t>
  </si>
  <si>
    <t>Nightmare</t>
  </si>
  <si>
    <t>Primordite</t>
  </si>
  <si>
    <t>Specter</t>
  </si>
  <si>
    <t>Nocture</t>
  </si>
  <si>
    <t>Hell Angel</t>
  </si>
  <si>
    <t>Somnambula</t>
  </si>
  <si>
    <t>Jinn</t>
  </si>
  <si>
    <t>Hex</t>
  </si>
  <si>
    <t>DOMA AREA</t>
  </si>
  <si>
    <t>Djinni</t>
  </si>
  <si>
    <t>Curse</t>
  </si>
  <si>
    <t>O-Bake</t>
  </si>
  <si>
    <t>Voodoo</t>
  </si>
  <si>
    <t>Rabite</t>
  </si>
  <si>
    <t>Fossilfang</t>
  </si>
  <si>
    <t>Bone</t>
  </si>
  <si>
    <t>Stray Cat</t>
  </si>
  <si>
    <t>Zombone</t>
  </si>
  <si>
    <t>Boner</t>
  </si>
  <si>
    <t>Cricket</t>
  </si>
  <si>
    <t>Necrosaur</t>
  </si>
  <si>
    <t>Befoul</t>
  </si>
  <si>
    <t>Beakor</t>
  </si>
  <si>
    <t>Sand Devil</t>
  </si>
  <si>
    <t>Beat</t>
  </si>
  <si>
    <t>Sea Devil</t>
  </si>
  <si>
    <t>Defeat</t>
  </si>
  <si>
    <t>IMPERIAL CAMP</t>
  </si>
  <si>
    <t>Plantpire</t>
  </si>
  <si>
    <t>Evil Dead</t>
  </si>
  <si>
    <t>Weedula</t>
  </si>
  <si>
    <t>Dead Alive</t>
  </si>
  <si>
    <t>Belladonna</t>
  </si>
  <si>
    <t>Bio Spore</t>
  </si>
  <si>
    <t>Nightshade</t>
  </si>
  <si>
    <t>Spore Pod</t>
  </si>
  <si>
    <t>Tek Armor</t>
  </si>
  <si>
    <t>Osteosaur</t>
  </si>
  <si>
    <t>Harden</t>
  </si>
  <si>
    <t>Telstar</t>
  </si>
  <si>
    <t>Bonelord</t>
  </si>
  <si>
    <t>Stone Bone</t>
  </si>
  <si>
    <t>Fang</t>
  </si>
  <si>
    <t>PHANTOM FOREST</t>
  </si>
  <si>
    <t>Red Wolf</t>
  </si>
  <si>
    <t>Red Fang</t>
  </si>
  <si>
    <t>Lunaris</t>
  </si>
  <si>
    <t>Black Fang</t>
  </si>
  <si>
    <t>Werewolf</t>
  </si>
  <si>
    <t>Ravage</t>
  </si>
  <si>
    <t>Ectoplasm</t>
  </si>
  <si>
    <t>Stomp</t>
  </si>
  <si>
    <t>Bomb</t>
  </si>
  <si>
    <t>Tusk</t>
  </si>
  <si>
    <t>Nastidon</t>
  </si>
  <si>
    <t>Trample</t>
  </si>
  <si>
    <t>Bite</t>
  </si>
  <si>
    <t>Plague Rat</t>
  </si>
  <si>
    <t>Plague</t>
  </si>
  <si>
    <t>Vermin</t>
  </si>
  <si>
    <t>Rabies</t>
  </si>
  <si>
    <t>Soul Train</t>
  </si>
  <si>
    <t>Nibble</t>
  </si>
  <si>
    <t>Gnaw</t>
  </si>
  <si>
    <t>BARREN FALLS</t>
  </si>
  <si>
    <t>Dark Hare</t>
  </si>
  <si>
    <t>Noms</t>
  </si>
  <si>
    <t>Nevermore</t>
  </si>
  <si>
    <t>Piranha</t>
  </si>
  <si>
    <t>Peck</t>
  </si>
  <si>
    <t>Rizopas</t>
  </si>
  <si>
    <t>Gaze</t>
  </si>
  <si>
    <t>Prick</t>
  </si>
  <si>
    <t>SERPENT TRENCH</t>
  </si>
  <si>
    <t>Barb</t>
  </si>
  <si>
    <t>Stunner</t>
  </si>
  <si>
    <t>Sea Flower</t>
  </si>
  <si>
    <t>Scorpion</t>
  </si>
  <si>
    <t>Venom</t>
  </si>
  <si>
    <t>Anguiform</t>
  </si>
  <si>
    <t>Needler</t>
  </si>
  <si>
    <t>Prokaryote</t>
  </si>
  <si>
    <t>Wasp</t>
  </si>
  <si>
    <t>Stinger</t>
  </si>
  <si>
    <t>Swallow</t>
  </si>
  <si>
    <t>BATTLE OF NARSHE</t>
  </si>
  <si>
    <t>Slurm</t>
  </si>
  <si>
    <t>Digest</t>
  </si>
  <si>
    <t>Slumber</t>
  </si>
  <si>
    <t>Puff Goo</t>
  </si>
  <si>
    <t>Dreamland</t>
  </si>
  <si>
    <t>Rottweiler</t>
  </si>
  <si>
    <t>Spoot</t>
  </si>
  <si>
    <t>Pooch</t>
  </si>
  <si>
    <t>Rocky</t>
  </si>
  <si>
    <t>Spluff</t>
  </si>
  <si>
    <t>Mega Armor</t>
  </si>
  <si>
    <t>Nutkin</t>
  </si>
  <si>
    <t>Spuzz</t>
  </si>
  <si>
    <t>Bash</t>
  </si>
  <si>
    <t>Kefka I</t>
  </si>
  <si>
    <t>Rhydon</t>
  </si>
  <si>
    <t>Ram</t>
  </si>
  <si>
    <t>Rhyperior</t>
  </si>
  <si>
    <t>Smash</t>
  </si>
  <si>
    <t>WESTERN LANDS</t>
  </si>
  <si>
    <t>Bear Claw</t>
  </si>
  <si>
    <t>Grizzly</t>
  </si>
  <si>
    <t>Maul</t>
  </si>
  <si>
    <t>Gold Bear</t>
  </si>
  <si>
    <t>Gore</t>
  </si>
  <si>
    <t>Black Bear</t>
  </si>
  <si>
    <t>Blacked</t>
  </si>
  <si>
    <t>Assault</t>
  </si>
  <si>
    <t>Buzzard</t>
  </si>
  <si>
    <t>Battery</t>
  </si>
  <si>
    <t>Foxhound</t>
  </si>
  <si>
    <t>Foxdie</t>
  </si>
  <si>
    <t>Mandrake</t>
  </si>
  <si>
    <t>Snap</t>
  </si>
  <si>
    <t>Doggo</t>
  </si>
  <si>
    <t>Chomp</t>
  </si>
  <si>
    <t>ZOZO</t>
  </si>
  <si>
    <t>Chupacabra</t>
  </si>
  <si>
    <t>Oogyboog</t>
  </si>
  <si>
    <t>Catscratch</t>
  </si>
  <si>
    <t>Wild Cat</t>
  </si>
  <si>
    <t>ChopChop</t>
  </si>
  <si>
    <t>Chickenlip</t>
  </si>
  <si>
    <t>Lick</t>
  </si>
  <si>
    <t>Cluck</t>
  </si>
  <si>
    <t>Gobble</t>
  </si>
  <si>
    <t>Chirp</t>
  </si>
  <si>
    <t>Dadaluma</t>
  </si>
  <si>
    <t>Dragonfly</t>
  </si>
  <si>
    <t>Buzz</t>
  </si>
  <si>
    <t>Locust</t>
  </si>
  <si>
    <t>Swarm</t>
  </si>
  <si>
    <t>OPERA HOUSE</t>
  </si>
  <si>
    <t>Angel Dust</t>
  </si>
  <si>
    <t>Racer</t>
  </si>
  <si>
    <t>Bad Touch</t>
  </si>
  <si>
    <t>Windrunner</t>
  </si>
  <si>
    <t>Bath Salts</t>
  </si>
  <si>
    <t>Hoodwink</t>
  </si>
  <si>
    <t>Band Candy</t>
  </si>
  <si>
    <t>Ultros II</t>
  </si>
  <si>
    <t>Blind</t>
  </si>
  <si>
    <t>Vulture</t>
  </si>
  <si>
    <t>Blindmore</t>
  </si>
  <si>
    <t>IMPERIAL LANDS</t>
  </si>
  <si>
    <t>Osprey</t>
  </si>
  <si>
    <t>Blindmost</t>
  </si>
  <si>
    <t>Whack</t>
  </si>
  <si>
    <t>Wyvern</t>
  </si>
  <si>
    <t>Swing</t>
  </si>
  <si>
    <t>Dactyl</t>
  </si>
  <si>
    <t>Swat</t>
  </si>
  <si>
    <t>Pinch</t>
  </si>
  <si>
    <t>Pincer</t>
  </si>
  <si>
    <t>Clamp</t>
  </si>
  <si>
    <t>Ink</t>
  </si>
  <si>
    <t>IMTRF</t>
  </si>
  <si>
    <t>Cephalid</t>
  </si>
  <si>
    <t>Molest</t>
  </si>
  <si>
    <t>Spine</t>
  </si>
  <si>
    <t>Anemone</t>
  </si>
  <si>
    <t>Crabs</t>
  </si>
  <si>
    <t>Sponge</t>
  </si>
  <si>
    <t>Feeler</t>
  </si>
  <si>
    <t>Wrap</t>
  </si>
  <si>
    <t>Proto Man</t>
  </si>
  <si>
    <t>Latimeria</t>
  </si>
  <si>
    <t>Constrict</t>
  </si>
  <si>
    <t>Mutate</t>
  </si>
  <si>
    <t>Flan</t>
  </si>
  <si>
    <t>Eukaryote</t>
  </si>
  <si>
    <t>Violate</t>
  </si>
  <si>
    <t>Mist</t>
  </si>
  <si>
    <t>Cling</t>
  </si>
  <si>
    <t>Cyborg</t>
  </si>
  <si>
    <t>Fuzzy</t>
  </si>
  <si>
    <t>Touch</t>
  </si>
  <si>
    <t>Mag Roader</t>
  </si>
  <si>
    <t>Bang</t>
  </si>
  <si>
    <t>Mag Roadie</t>
  </si>
  <si>
    <t>Grenade</t>
  </si>
  <si>
    <t>Boom</t>
  </si>
  <si>
    <t>Chaser</t>
  </si>
  <si>
    <t>Bane</t>
  </si>
  <si>
    <t>Toxic</t>
  </si>
  <si>
    <t>Kudzu</t>
  </si>
  <si>
    <t>Virus</t>
  </si>
  <si>
    <t>Number 024</t>
  </si>
  <si>
    <t>Tumbleweed</t>
  </si>
  <si>
    <t>Suck</t>
  </si>
  <si>
    <t>Number 128</t>
  </si>
  <si>
    <t>Atlasphere</t>
  </si>
  <si>
    <t>Roll</t>
  </si>
  <si>
    <t>(Rapier)</t>
  </si>
  <si>
    <t>Cave Stuff</t>
  </si>
  <si>
    <t>Grope</t>
  </si>
  <si>
    <t>(Saber)</t>
  </si>
  <si>
    <t>Pond Scum</t>
  </si>
  <si>
    <t>Frisk</t>
  </si>
  <si>
    <t>Crane</t>
  </si>
  <si>
    <t>Marlboro</t>
  </si>
  <si>
    <t>Drool</t>
  </si>
  <si>
    <t>Devil Weed</t>
  </si>
  <si>
    <t>Unlife</t>
  </si>
  <si>
    <t>SEALED CAVE</t>
  </si>
  <si>
    <t>Mudcrab</t>
  </si>
  <si>
    <t>Snip</t>
  </si>
  <si>
    <t>Hermit</t>
  </si>
  <si>
    <t>Vicegrip</t>
  </si>
  <si>
    <t>Beetle</t>
  </si>
  <si>
    <t>Zap</t>
  </si>
  <si>
    <t>Scarab</t>
  </si>
  <si>
    <t>Blast</t>
  </si>
  <si>
    <t>Komodo</t>
  </si>
  <si>
    <t>Paraskin</t>
  </si>
  <si>
    <t>Basilisk</t>
  </si>
  <si>
    <t>Stoneskin</t>
  </si>
  <si>
    <t>Leap Frog</t>
  </si>
  <si>
    <t>Tongue</t>
  </si>
  <si>
    <t>Frogger</t>
  </si>
  <si>
    <t>Slurp</t>
  </si>
  <si>
    <t>Kefka II</t>
  </si>
  <si>
    <t>Mantodea</t>
  </si>
  <si>
    <t>Gouge</t>
  </si>
  <si>
    <t>Zorathian</t>
  </si>
  <si>
    <t>Impsickle</t>
  </si>
  <si>
    <t>THAMASA AREA</t>
  </si>
  <si>
    <t>Buffalax</t>
  </si>
  <si>
    <t>Charge</t>
  </si>
  <si>
    <t>Opinicus</t>
  </si>
  <si>
    <t>Horn</t>
  </si>
  <si>
    <t>Griffin</t>
  </si>
  <si>
    <t>Red Talon</t>
  </si>
  <si>
    <t>Adamantite</t>
  </si>
  <si>
    <t>Roc</t>
  </si>
  <si>
    <t>Grey Talon</t>
  </si>
  <si>
    <t>Chimera</t>
  </si>
  <si>
    <t>Gargoyle</t>
  </si>
  <si>
    <t>Enrage</t>
  </si>
  <si>
    <t>Mephisto</t>
  </si>
  <si>
    <t>Seeing Red</t>
  </si>
  <si>
    <t>BURNING HOUSE</t>
  </si>
  <si>
    <t>Brainpan</t>
  </si>
  <si>
    <t>Stop</t>
  </si>
  <si>
    <t>Mu</t>
  </si>
  <si>
    <t>Hold</t>
  </si>
  <si>
    <t>Pan Dora</t>
  </si>
  <si>
    <t>Puzzle</t>
  </si>
  <si>
    <t>Heartfire</t>
  </si>
  <si>
    <t>Boxxy</t>
  </si>
  <si>
    <t>Mystify</t>
  </si>
  <si>
    <t>Humpty</t>
  </si>
  <si>
    <t>Hug</t>
  </si>
  <si>
    <t>ESPER MOUNTAIN</t>
  </si>
  <si>
    <t>Dumpty</t>
  </si>
  <si>
    <t>Stench</t>
  </si>
  <si>
    <t>Suriander</t>
  </si>
  <si>
    <t>Yawn</t>
  </si>
  <si>
    <t>Adamantoid</t>
  </si>
  <si>
    <t>Wart Puck</t>
  </si>
  <si>
    <t>Snooze</t>
  </si>
  <si>
    <t>Gash</t>
  </si>
  <si>
    <t>Lacerate</t>
  </si>
  <si>
    <t>Provoke</t>
  </si>
  <si>
    <t>Manticore</t>
  </si>
  <si>
    <t>Fury</t>
  </si>
  <si>
    <t>Ultros III</t>
  </si>
  <si>
    <t>Sphinx</t>
  </si>
  <si>
    <t>Riddle</t>
  </si>
  <si>
    <t>Behemoth</t>
  </si>
  <si>
    <t>Pound</t>
  </si>
  <si>
    <t>IAF GAUNTLET</t>
  </si>
  <si>
    <t>Diablos</t>
  </si>
  <si>
    <t>Batter</t>
  </si>
  <si>
    <t>Slam</t>
  </si>
  <si>
    <t>Spitfire</t>
  </si>
  <si>
    <t>Jam</t>
  </si>
  <si>
    <t>Sky Armor</t>
  </si>
  <si>
    <t>Mesosaur</t>
  </si>
  <si>
    <t>Nail</t>
  </si>
  <si>
    <t>Ultros IV</t>
  </si>
  <si>
    <t>Raptor</t>
  </si>
  <si>
    <t>Shred</t>
  </si>
  <si>
    <t>Chupon</t>
  </si>
  <si>
    <t>Tyrano</t>
  </si>
  <si>
    <t>Thrash</t>
  </si>
  <si>
    <t>IAF</t>
  </si>
  <si>
    <t>Brontasaur</t>
  </si>
  <si>
    <t>Smack</t>
  </si>
  <si>
    <t>(Right Bay)</t>
  </si>
  <si>
    <t>Goo</t>
  </si>
  <si>
    <t>(Left Bay)</t>
  </si>
  <si>
    <t>Tofu</t>
  </si>
  <si>
    <t>Slime</t>
  </si>
  <si>
    <t>Troll</t>
  </si>
  <si>
    <t>Lulz</t>
  </si>
  <si>
    <t>FLOATING CONT.</t>
  </si>
  <si>
    <t>Ahriman</t>
  </si>
  <si>
    <t>Evil Eye</t>
  </si>
  <si>
    <t>Stab</t>
  </si>
  <si>
    <t>Tonberry</t>
  </si>
  <si>
    <t>Shank</t>
  </si>
  <si>
    <t>Master T</t>
  </si>
  <si>
    <t>Gank</t>
  </si>
  <si>
    <t>Sand Worm</t>
  </si>
  <si>
    <t>Crush</t>
  </si>
  <si>
    <t>Land Worm</t>
  </si>
  <si>
    <t>Smother</t>
  </si>
  <si>
    <t>Zone Eater</t>
  </si>
  <si>
    <t>Pulverize</t>
  </si>
  <si>
    <t>Metal Fist</t>
  </si>
  <si>
    <t>Megabuster</t>
  </si>
  <si>
    <t>Atma</t>
  </si>
  <si>
    <t>Ganymede</t>
  </si>
  <si>
    <t>Moonstrike</t>
  </si>
  <si>
    <t>Robomech</t>
  </si>
  <si>
    <t>Disarm</t>
  </si>
  <si>
    <t>WOR OVERWORLD...</t>
  </si>
  <si>
    <t>SpitFire</t>
  </si>
  <si>
    <t>Rotor Gun</t>
  </si>
  <si>
    <t>Jettison</t>
  </si>
  <si>
    <t>Callisto</t>
  </si>
  <si>
    <t>Craterize</t>
  </si>
  <si>
    <t>Autobot</t>
  </si>
  <si>
    <t>Impact</t>
  </si>
  <si>
    <t>Armcannon</t>
  </si>
  <si>
    <t>Europa</t>
  </si>
  <si>
    <t>Apollo</t>
  </si>
  <si>
    <t>Arsenal</t>
  </si>
  <si>
    <t>Rocket</t>
  </si>
  <si>
    <t>Spazer</t>
  </si>
  <si>
    <t>Hyper Beam</t>
  </si>
  <si>
    <t>Searcher</t>
  </si>
  <si>
    <t>Silencer</t>
  </si>
  <si>
    <t>Control</t>
  </si>
  <si>
    <t>…S.FIG / KOHLINGEN</t>
  </si>
  <si>
    <t>Robot</t>
  </si>
  <si>
    <t>Alt</t>
  </si>
  <si>
    <t>Android</t>
  </si>
  <si>
    <t>Delete</t>
  </si>
  <si>
    <t>Wheelie</t>
  </si>
  <si>
    <t>Hot Wheels</t>
  </si>
  <si>
    <t>Tired</t>
  </si>
  <si>
    <t>Pollute</t>
  </si>
  <si>
    <t>Low Rider</t>
  </si>
  <si>
    <t>Exhausted</t>
  </si>
  <si>
    <t>Io</t>
  </si>
  <si>
    <t>Lunar Beam</t>
  </si>
  <si>
    <t>WEAPON</t>
  </si>
  <si>
    <t>Ruby Blast</t>
  </si>
  <si>
    <t>…MARANDA / ZOZO</t>
  </si>
  <si>
    <t>Warmech</t>
  </si>
  <si>
    <t>Cinderizer</t>
  </si>
  <si>
    <t>Lv.1 Mage</t>
  </si>
  <si>
    <t>Lv.2 Mage</t>
  </si>
  <si>
    <t>Lv.3 Mage</t>
  </si>
  <si>
    <t>Lv.4 Mage</t>
  </si>
  <si>
    <t>Lv.5 Mage</t>
  </si>
  <si>
    <t>Lv.6 Mage</t>
  </si>
  <si>
    <t>Lv.7 Mage</t>
  </si>
  <si>
    <t>...NARSHE / DOMA</t>
  </si>
  <si>
    <t>Lv.8 Mage</t>
  </si>
  <si>
    <t>Lv.9 Mage</t>
  </si>
  <si>
    <t>Magic Pot</t>
  </si>
  <si>
    <t>Slap</t>
  </si>
  <si>
    <t>Chesticle</t>
  </si>
  <si>
    <t>Coldfinger</t>
  </si>
  <si>
    <t>Death Fist</t>
  </si>
  <si>
    <t>...DESERTS</t>
  </si>
  <si>
    <t>Elbow Drop</t>
  </si>
  <si>
    <t>Squirt</t>
  </si>
  <si>
    <t>Snort</t>
  </si>
  <si>
    <t>...THE SKY</t>
  </si>
  <si>
    <t>Run Over</t>
  </si>
  <si>
    <t>Doom Gaze</t>
  </si>
  <si>
    <t>Razor Bite</t>
  </si>
  <si>
    <t>Drill Gun</t>
  </si>
  <si>
    <t>TZEN HOUSE</t>
  </si>
  <si>
    <t>Prometheus</t>
  </si>
  <si>
    <t>Drilldozer</t>
  </si>
  <si>
    <t>Chill</t>
  </si>
  <si>
    <t>Fever</t>
  </si>
  <si>
    <t>Overflow</t>
  </si>
  <si>
    <t>MOBLIZ</t>
  </si>
  <si>
    <t>MagiMaster</t>
  </si>
  <si>
    <t>Overkill</t>
  </si>
  <si>
    <t>Program666</t>
  </si>
  <si>
    <t>Phunbaba</t>
  </si>
  <si>
    <t>Rapier</t>
  </si>
  <si>
    <t>Saber</t>
  </si>
  <si>
    <t>Inferno</t>
  </si>
  <si>
    <t>Subversion</t>
  </si>
  <si>
    <t>(Striker)</t>
  </si>
  <si>
    <t>Striker</t>
  </si>
  <si>
    <t>(Rake)</t>
  </si>
  <si>
    <t>Rake</t>
  </si>
  <si>
    <t>Cannonball</t>
  </si>
  <si>
    <t>HeartFire</t>
  </si>
  <si>
    <t>Smoke</t>
  </si>
  <si>
    <t>Tentacle A</t>
  </si>
  <si>
    <t>Tentacle B</t>
  </si>
  <si>
    <t>Tentacle C</t>
  </si>
  <si>
    <t>Full Power</t>
  </si>
  <si>
    <t>Tentacle D</t>
  </si>
  <si>
    <t>Ultima</t>
  </si>
  <si>
    <t>Entangle</t>
  </si>
  <si>
    <t>DARYL'S TOMB</t>
  </si>
  <si>
    <t>Dullahan</t>
  </si>
  <si>
    <t>Flail</t>
  </si>
  <si>
    <t>Didalos</t>
  </si>
  <si>
    <t>Bludgeon</t>
  </si>
  <si>
    <t>Body Check</t>
  </si>
  <si>
    <t>Ogre Nix</t>
  </si>
  <si>
    <t>Chokeslam</t>
  </si>
  <si>
    <t>Chadarnook</t>
  </si>
  <si>
    <t>Demon Kiss</t>
  </si>
  <si>
    <t>Let It Go</t>
  </si>
  <si>
    <t>Tackle</t>
  </si>
  <si>
    <t>MT. ZOZO</t>
  </si>
  <si>
    <t>Curly</t>
  </si>
  <si>
    <t>Larry</t>
  </si>
  <si>
    <t>Moe</t>
  </si>
  <si>
    <t>Wrexsoul</t>
  </si>
  <si>
    <t>Karma</t>
  </si>
  <si>
    <t>Soulblazer</t>
  </si>
  <si>
    <t>Doomy Doom</t>
  </si>
  <si>
    <t>Hidon</t>
  </si>
  <si>
    <t>Spellbind</t>
  </si>
  <si>
    <t>(Blinky)</t>
  </si>
  <si>
    <t>Mega Claw</t>
  </si>
  <si>
    <t>(Pinky)</t>
  </si>
  <si>
    <t>Stone Claw</t>
  </si>
  <si>
    <t>Purple-D</t>
  </si>
  <si>
    <t>(Inky)</t>
  </si>
  <si>
    <t>Kappa Claw</t>
  </si>
  <si>
    <t>(Clyde)</t>
  </si>
  <si>
    <t>Crazy Klaw</t>
  </si>
  <si>
    <t>VELDT CAVE</t>
  </si>
  <si>
    <t>Guardian</t>
  </si>
  <si>
    <t>FAKK2</t>
  </si>
  <si>
    <t>D-Claw</t>
  </si>
  <si>
    <t>Brown-D</t>
  </si>
  <si>
    <t>Blue-D</t>
  </si>
  <si>
    <t>White-D</t>
  </si>
  <si>
    <t>Red-D</t>
  </si>
  <si>
    <t>Intangir</t>
  </si>
  <si>
    <t>Silver-D</t>
  </si>
  <si>
    <t>Intangir Z</t>
  </si>
  <si>
    <t>Gold-D</t>
  </si>
  <si>
    <t>Green-D</t>
  </si>
  <si>
    <t>OWZER'S HOUSE</t>
  </si>
  <si>
    <t>Kaiser</t>
  </si>
  <si>
    <t>Bonebreak</t>
  </si>
  <si>
    <t>Asura</t>
  </si>
  <si>
    <t>Loc Nar</t>
  </si>
  <si>
    <t>Isis</t>
  </si>
  <si>
    <t>Turmoil</t>
  </si>
  <si>
    <t>Myria</t>
  </si>
  <si>
    <t>Tyrfing</t>
  </si>
  <si>
    <t>(Short Arm)</t>
  </si>
  <si>
    <t>Short Arm</t>
  </si>
  <si>
    <t>(Long Arm)</t>
  </si>
  <si>
    <t>Long Arm</t>
  </si>
  <si>
    <t>(Face)</t>
  </si>
  <si>
    <t>Face</t>
  </si>
  <si>
    <t>(Tiger)</t>
  </si>
  <si>
    <t>Tiger</t>
  </si>
  <si>
    <t>(Tools)</t>
  </si>
  <si>
    <t>Tools</t>
  </si>
  <si>
    <t>(Magic)</t>
  </si>
  <si>
    <t>PHOENIX CAVE</t>
  </si>
  <si>
    <t>(Hit)</t>
  </si>
  <si>
    <t>Hit</t>
  </si>
  <si>
    <t>(Girl)</t>
  </si>
  <si>
    <t>Love</t>
  </si>
  <si>
    <t>(Sleep)</t>
  </si>
  <si>
    <t>Peace</t>
  </si>
  <si>
    <t>Stabbles</t>
  </si>
  <si>
    <t>Kefka III</t>
  </si>
  <si>
    <t>Havoc Wing</t>
  </si>
  <si>
    <t>NARSHE (WOR)</t>
  </si>
  <si>
    <t>UMARO'S CAVE</t>
  </si>
  <si>
    <t>GOGO'S CAVE</t>
  </si>
  <si>
    <t>EBOT'S ROCK</t>
  </si>
  <si>
    <t>CYAN'S DREAM</t>
  </si>
  <si>
    <t>ANCIENT CASTLE</t>
  </si>
  <si>
    <t>COLOSSEUM</t>
  </si>
  <si>
    <t>FANATICS TOWER</t>
  </si>
  <si>
    <t>KEFKA'S TOWER...</t>
  </si>
  <si>
    <t>...INTERIOR</t>
  </si>
  <si>
    <t>...CASTLE AREAS</t>
  </si>
  <si>
    <t>...FACTORY AREAS</t>
  </si>
  <si>
    <t>...BOSSES</t>
  </si>
  <si>
    <t>LAST BATTLE (Tier 1)</t>
  </si>
  <si>
    <t>LAST BATTLE (Tier 2)</t>
  </si>
  <si>
    <t>-----------------------</t>
  </si>
  <si>
    <t>LAST BATTLE (Tier 3)</t>
  </si>
  <si>
    <t>BEYOND CHAOS...</t>
  </si>
  <si>
    <r>
      <t xml:space="preserve">     </t>
    </r>
    <r>
      <rPr>
        <i/>
        <sz val="7"/>
        <color theme="1"/>
        <rFont val="Palatino Linotype"/>
        <family val="1"/>
      </rPr>
      <t>(…vs Flying)</t>
    </r>
  </si>
  <si>
    <r>
      <t xml:space="preserve">  Rage </t>
    </r>
    <r>
      <rPr>
        <i/>
        <sz val="7"/>
        <color theme="1"/>
        <rFont val="Palatino Linotype"/>
        <family val="1"/>
      </rPr>
      <t>(2x/3x/4x dmg)</t>
    </r>
  </si>
  <si>
    <t>(Tritoch)</t>
  </si>
  <si>
    <t>(Umaro)</t>
  </si>
  <si>
    <t>Exploder</t>
  </si>
  <si>
    <t xml:space="preserve">  Bomb</t>
  </si>
  <si>
    <t>100%</t>
  </si>
  <si>
    <t>1/3</t>
  </si>
  <si>
    <t>Jump</t>
  </si>
  <si>
    <t>(7/8)</t>
  </si>
  <si>
    <t>(15/16)</t>
  </si>
  <si>
    <t>(5/8)</t>
  </si>
  <si>
    <t>Loki</t>
  </si>
  <si>
    <t>Blocks “Mute”, “Muddle”, “Bserk”</t>
  </si>
  <si>
    <t>Blocks "Blind", “Poison”, “Imp”</t>
  </si>
  <si>
    <t>Psycho Belt</t>
  </si>
  <si>
    <t xml:space="preserve">  Anti-Air Proc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</si>
</sst>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[$$-409]#,##0.00;[Red]&quot;-&quot;[$$-409]#,##0.00"/>
    <numFmt numFmtId="167" formatCode="0.0%"/>
  </numFmts>
  <fonts count="55">
    <font>
      <sz val="8"/>
      <color theme="1"/>
      <name val="Courier New"/>
      <family val="3"/>
    </font>
    <font>
      <sz val="8"/>
      <color theme="1"/>
      <name val="Courier New"/>
      <family val="3"/>
    </font>
    <font>
      <sz val="7"/>
      <color rgb="FFC0C0C0"/>
      <name val="Courier New"/>
      <family val="3"/>
    </font>
    <font>
      <b/>
      <sz val="7.5"/>
      <color rgb="FF000000"/>
      <name val="Courier New"/>
      <family val="3"/>
    </font>
    <font>
      <b/>
      <i/>
      <sz val="7.5"/>
      <color rgb="FFFF0000"/>
      <name val="Courier New"/>
      <family val="3"/>
    </font>
    <font>
      <b/>
      <i/>
      <sz val="8"/>
      <color rgb="FFFF0000"/>
      <name val="Courier New"/>
      <family val="3"/>
    </font>
    <font>
      <b/>
      <i/>
      <sz val="16"/>
      <color theme="1"/>
      <name val="Courier New"/>
      <family val="3"/>
    </font>
    <font>
      <b/>
      <i/>
      <u/>
      <sz val="8"/>
      <color theme="1"/>
      <name val="Courier New"/>
      <family val="3"/>
    </font>
    <font>
      <i/>
      <sz val="8"/>
      <color theme="1"/>
      <name val="Courier New"/>
      <family val="3"/>
    </font>
    <font>
      <b/>
      <sz val="8"/>
      <color theme="1"/>
      <name val="Courier New"/>
      <family val="3"/>
    </font>
    <font>
      <i/>
      <sz val="8"/>
      <color theme="1"/>
      <name val="Palatino Linotype"/>
      <family val="1"/>
    </font>
    <font>
      <b/>
      <sz val="8"/>
      <color theme="1"/>
      <name val="Palatino Linotype"/>
      <family val="1"/>
    </font>
    <font>
      <b/>
      <sz val="7.5"/>
      <color theme="1"/>
      <name val="Courier New"/>
      <family val="3"/>
    </font>
    <font>
      <b/>
      <sz val="8"/>
      <color rgb="FF008000"/>
      <name val="Palatino Linotype2"/>
    </font>
    <font>
      <b/>
      <sz val="9"/>
      <color rgb="FF000080"/>
      <name val="Palatino Linotype2"/>
    </font>
    <font>
      <b/>
      <sz val="10"/>
      <color rgb="FFFF0000"/>
      <name val="Palatino Linotype2"/>
    </font>
    <font>
      <b/>
      <i/>
      <sz val="8"/>
      <color theme="1"/>
      <name val="Courier New"/>
      <family val="3"/>
    </font>
    <font>
      <b/>
      <i/>
      <sz val="7.5"/>
      <color theme="1"/>
      <name val="Palatino Linotype3"/>
    </font>
    <font>
      <b/>
      <sz val="7"/>
      <color theme="1"/>
      <name val="Palatino Linotype1"/>
    </font>
    <font>
      <sz val="8"/>
      <color theme="1"/>
      <name val="Palatino Linotype"/>
      <family val="1"/>
    </font>
    <font>
      <b/>
      <sz val="10"/>
      <color theme="1"/>
      <name val="Palatino Linotype"/>
      <family val="1"/>
    </font>
    <font>
      <b/>
      <i/>
      <sz val="18"/>
      <color rgb="FF000080"/>
      <name val="Palatino Linotype"/>
      <family val="1"/>
    </font>
    <font>
      <b/>
      <i/>
      <sz val="8"/>
      <color theme="1"/>
      <name val="Palatino Linotype"/>
      <family val="1"/>
    </font>
    <font>
      <b/>
      <sz val="7.5"/>
      <color rgb="FF000080"/>
      <name val="Courier New"/>
      <family val="3"/>
    </font>
    <font>
      <sz val="6"/>
      <color theme="1"/>
      <name val="Palatino Linotype"/>
      <family val="1"/>
    </font>
    <font>
      <b/>
      <sz val="8"/>
      <color rgb="FF000080"/>
      <name val="Palatino Linotype"/>
      <family val="1"/>
    </font>
    <font>
      <i/>
      <sz val="6"/>
      <color theme="1"/>
      <name val="Palatino Linotype"/>
      <family val="1"/>
    </font>
    <font>
      <b/>
      <i/>
      <sz val="12"/>
      <color theme="1"/>
      <name val="Palatino Linotype"/>
      <family val="1"/>
    </font>
    <font>
      <b/>
      <i/>
      <sz val="15"/>
      <color theme="1"/>
      <name val="Palatino Linotype"/>
      <family val="1"/>
    </font>
    <font>
      <b/>
      <i/>
      <sz val="7.5"/>
      <color theme="1"/>
      <name val="Palatino Linotype"/>
      <family val="1"/>
    </font>
    <font>
      <b/>
      <i/>
      <sz val="7"/>
      <color rgb="FF000080"/>
      <name val="Courier New"/>
      <family val="3"/>
    </font>
    <font>
      <b/>
      <sz val="9"/>
      <color theme="1"/>
      <name val="Courier New"/>
      <family val="3"/>
    </font>
    <font>
      <b/>
      <sz val="7"/>
      <color theme="1"/>
      <name val="Palatino Linotype"/>
      <family val="1"/>
    </font>
    <font>
      <b/>
      <sz val="7"/>
      <color theme="1"/>
      <name val="Courier New"/>
      <family val="3"/>
    </font>
    <font>
      <b/>
      <sz val="9"/>
      <color theme="1"/>
      <name val="Palatino Linotype"/>
      <family val="1"/>
    </font>
    <font>
      <b/>
      <i/>
      <sz val="7"/>
      <color theme="1"/>
      <name val="Palatino Linotype"/>
      <family val="1"/>
    </font>
    <font>
      <b/>
      <sz val="8"/>
      <color rgb="FF000080"/>
      <name val="Courier New"/>
      <family val="3"/>
    </font>
    <font>
      <sz val="5"/>
      <color theme="1"/>
      <name val="Palatino Linotype"/>
      <family val="1"/>
    </font>
    <font>
      <b/>
      <sz val="5"/>
      <color theme="1"/>
      <name val="Palatino Linotype"/>
      <family val="1"/>
    </font>
    <font>
      <b/>
      <i/>
      <sz val="9"/>
      <color theme="1"/>
      <name val="Palatino Linotype"/>
      <family val="1"/>
    </font>
    <font>
      <sz val="6"/>
      <color rgb="FF000000"/>
      <name val="Palatino Linotype"/>
      <family val="1"/>
    </font>
    <font>
      <sz val="7"/>
      <color theme="1"/>
      <name val="Courier New"/>
      <family val="3"/>
    </font>
    <font>
      <b/>
      <i/>
      <sz val="7"/>
      <color theme="1"/>
      <name val="Courier New"/>
      <family val="3"/>
    </font>
    <font>
      <i/>
      <sz val="7"/>
      <color theme="1"/>
      <name val="Courier New"/>
      <family val="3"/>
    </font>
    <font>
      <sz val="6"/>
      <color theme="1"/>
      <name val="Courier New"/>
      <family val="3"/>
    </font>
    <font>
      <sz val="7"/>
      <color theme="1"/>
      <name val="Palatino Linotype"/>
      <family val="1"/>
    </font>
    <font>
      <b/>
      <i/>
      <sz val="10"/>
      <color theme="1"/>
      <name val="Palatino Linotype"/>
      <family val="1"/>
    </font>
    <font>
      <b/>
      <i/>
      <sz val="6"/>
      <color theme="1"/>
      <name val="Palatino Linotype"/>
      <family val="1"/>
    </font>
    <font>
      <sz val="6.5"/>
      <color theme="1"/>
      <name val="Palatino Linotype"/>
      <family val="1"/>
    </font>
    <font>
      <b/>
      <sz val="6.5"/>
      <color theme="1"/>
      <name val="Palatino Linotype"/>
      <family val="1"/>
    </font>
    <font>
      <sz val="5.5"/>
      <color theme="1"/>
      <name val="Palatino Linotype"/>
      <family val="1"/>
    </font>
    <font>
      <i/>
      <sz val="6.5"/>
      <color theme="1"/>
      <name val="Palatino Linotype"/>
      <family val="1"/>
    </font>
    <font>
      <b/>
      <sz val="12"/>
      <color rgb="FF000000"/>
      <name val="Palatino Linotype"/>
      <family val="1"/>
    </font>
    <font>
      <i/>
      <sz val="7"/>
      <color theme="1"/>
      <name val="Palatino Linotype"/>
      <family val="1"/>
    </font>
    <font>
      <b/>
      <i/>
      <sz val="6.5"/>
      <color theme="1"/>
      <name val="Palatino Linotype"/>
      <family val="1"/>
    </font>
  </fonts>
  <fills count="18">
    <fill>
      <patternFill patternType="none"/>
    </fill>
    <fill>
      <patternFill patternType="gray125"/>
    </fill>
    <fill>
      <patternFill patternType="solid">
        <fgColor rgb="FFE4E4FF"/>
        <bgColor rgb="FFE4E4FF"/>
      </patternFill>
    </fill>
    <fill>
      <patternFill patternType="solid">
        <fgColor rgb="FFC0C0C0"/>
        <bgColor rgb="FFC0C0C0"/>
      </patternFill>
    </fill>
    <fill>
      <patternFill patternType="solid">
        <fgColor rgb="FFC8FFC0"/>
        <bgColor rgb="FFC8FFC0"/>
      </patternFill>
    </fill>
    <fill>
      <patternFill patternType="solid">
        <fgColor rgb="FFC8E1FF"/>
        <bgColor rgb="FFC8E1FF"/>
      </patternFill>
    </fill>
    <fill>
      <patternFill patternType="solid">
        <fgColor rgb="FFFF0000"/>
        <bgColor rgb="FFFF0000"/>
      </patternFill>
    </fill>
    <fill>
      <patternFill patternType="solid">
        <fgColor rgb="FFACACAC"/>
        <bgColor rgb="FFACACAC"/>
      </patternFill>
    </fill>
    <fill>
      <patternFill patternType="solid">
        <fgColor rgb="FF000000"/>
        <bgColor rgb="FF000000"/>
      </patternFill>
    </fill>
    <fill>
      <patternFill patternType="solid">
        <fgColor rgb="FFFFC8C8"/>
        <bgColor rgb="FFFFC8C8"/>
      </patternFill>
    </fill>
    <fill>
      <patternFill patternType="solid">
        <fgColor rgb="FFFFFFC8"/>
        <bgColor rgb="FFFFFFC8"/>
      </patternFill>
    </fill>
    <fill>
      <patternFill patternType="solid">
        <fgColor rgb="FFFFCCCC"/>
        <bgColor rgb="FFFFCCCC"/>
      </patternFill>
    </fill>
    <fill>
      <patternFill patternType="solid">
        <fgColor rgb="FF808080"/>
        <bgColor rgb="FF808080"/>
      </patternFill>
    </fill>
    <fill>
      <patternFill patternType="solid">
        <fgColor rgb="FFEBEBEB"/>
        <bgColor rgb="FFEBEBEB"/>
      </patternFill>
    </fill>
    <fill>
      <patternFill patternType="solid">
        <fgColor rgb="FFC8FFC8"/>
        <bgColor rgb="FFC8FFC8"/>
      </patternFill>
    </fill>
    <fill>
      <patternFill patternType="solid">
        <fgColor rgb="FFC0C0C0"/>
        <bgColor rgb="FFACACAC"/>
      </patternFill>
    </fill>
    <fill>
      <patternFill patternType="solid">
        <fgColor rgb="FFACACAC"/>
        <bgColor rgb="FFC0C0C0"/>
      </patternFill>
    </fill>
    <fill>
      <patternFill patternType="solid">
        <fgColor rgb="FFEBEBEB"/>
        <bgColor indexed="64"/>
      </patternFill>
    </fill>
  </fills>
  <borders count="1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1" fontId="0" fillId="0" borderId="0">
      <alignment horizontal="center" vertical="center"/>
      <protection locked="0"/>
    </xf>
    <xf numFmtId="0" fontId="1" fillId="0" borderId="0">
      <alignment horizontal="center" vertical="center"/>
    </xf>
    <xf numFmtId="1" fontId="1" fillId="0" borderId="0">
      <alignment horizontal="center" vertical="center"/>
      <protection locked="0"/>
    </xf>
    <xf numFmtId="1" fontId="6" fillId="0" borderId="0">
      <alignment horizontal="center" vertical="center"/>
      <protection locked="0"/>
    </xf>
    <xf numFmtId="1" fontId="6" fillId="0" borderId="0">
      <alignment horizontal="center" vertical="center" textRotation="90"/>
      <protection locked="0"/>
    </xf>
    <xf numFmtId="1" fontId="7" fillId="0" borderId="0">
      <alignment horizontal="center" vertical="center"/>
      <protection locked="0"/>
    </xf>
    <xf numFmtId="166" fontId="7" fillId="0" borderId="0">
      <alignment horizontal="center" vertical="center"/>
      <protection locked="0"/>
    </xf>
    <xf numFmtId="1" fontId="8" fillId="2" borderId="0">
      <alignment horizontal="center" vertical="center"/>
      <protection locked="0"/>
    </xf>
    <xf numFmtId="1" fontId="9" fillId="4" borderId="0">
      <alignment horizontal="center" vertical="center"/>
      <protection locked="0"/>
    </xf>
    <xf numFmtId="1" fontId="10" fillId="3" borderId="0">
      <alignment horizontal="center" vertical="center"/>
      <protection locked="0"/>
    </xf>
    <xf numFmtId="1" fontId="11" fillId="3" borderId="0">
      <alignment horizontal="center" vertical="center"/>
      <protection locked="0"/>
    </xf>
    <xf numFmtId="1" fontId="1" fillId="5" borderId="0">
      <alignment horizontal="center" vertical="center"/>
      <protection locked="0"/>
    </xf>
    <xf numFmtId="1" fontId="4" fillId="2" borderId="0">
      <alignment horizontal="center" vertical="center"/>
      <protection locked="0"/>
    </xf>
    <xf numFmtId="1" fontId="2" fillId="0" borderId="0">
      <alignment horizontal="center" vertical="center"/>
      <protection locked="0"/>
    </xf>
    <xf numFmtId="1" fontId="12" fillId="2" borderId="0">
      <alignment horizontal="center" vertical="center"/>
      <protection locked="0"/>
    </xf>
    <xf numFmtId="1" fontId="5" fillId="5" borderId="0">
      <alignment horizontal="center" vertical="center"/>
      <protection locked="0"/>
    </xf>
    <xf numFmtId="1" fontId="9" fillId="2" borderId="0">
      <alignment horizontal="center" vertical="center"/>
      <protection locked="0"/>
    </xf>
    <xf numFmtId="1" fontId="13" fillId="2" borderId="0">
      <alignment horizontal="center" vertical="center"/>
      <protection locked="0"/>
    </xf>
    <xf numFmtId="1" fontId="14" fillId="2" borderId="0">
      <alignment horizontal="center" vertical="center"/>
      <protection locked="0"/>
    </xf>
    <xf numFmtId="1" fontId="15" fillId="2" borderId="0">
      <alignment horizontal="center" vertical="center"/>
      <protection locked="0"/>
    </xf>
    <xf numFmtId="1" fontId="16" fillId="0" borderId="1">
      <alignment horizontal="center" vertical="center"/>
      <protection locked="0"/>
    </xf>
    <xf numFmtId="1" fontId="17" fillId="6" borderId="0">
      <alignment horizontal="left" vertical="center"/>
      <protection locked="0"/>
    </xf>
    <xf numFmtId="1" fontId="18" fillId="4" borderId="0">
      <alignment horizontal="center" vertical="center"/>
      <protection locked="0"/>
    </xf>
  </cellStyleXfs>
  <cellXfs count="715">
    <xf numFmtId="1" fontId="0" fillId="0" borderId="0" xfId="0">
      <alignment horizontal="center" vertical="center"/>
      <protection locked="0"/>
    </xf>
    <xf numFmtId="1" fontId="19" fillId="0" borderId="0" xfId="0" applyFont="1" applyAlignment="1" applyProtection="1">
      <alignment horizontal="center" vertical="center"/>
    </xf>
    <xf numFmtId="1" fontId="0" fillId="0" borderId="0" xfId="0" applyProtection="1">
      <alignment horizontal="center" vertical="center"/>
    </xf>
    <xf numFmtId="1" fontId="20" fillId="0" borderId="0" xfId="0" applyFont="1" applyFill="1" applyBorder="1" applyAlignment="1" applyProtection="1">
      <alignment horizontal="center" vertical="center"/>
    </xf>
    <xf numFmtId="1" fontId="19" fillId="0" borderId="0" xfId="0" applyFont="1" applyFill="1" applyAlignment="1" applyProtection="1">
      <alignment horizontal="center" vertical="center"/>
    </xf>
    <xf numFmtId="164" fontId="26" fillId="0" borderId="0" xfId="0" applyNumberFormat="1" applyFont="1" applyFill="1" applyBorder="1" applyAlignment="1" applyProtection="1">
      <alignment horizontal="center" vertical="center"/>
    </xf>
    <xf numFmtId="1" fontId="0" fillId="0" borderId="0" xfId="0" applyAlignment="1" applyProtection="1">
      <alignment horizontal="center" vertical="center"/>
    </xf>
    <xf numFmtId="1" fontId="0" fillId="0" borderId="0" xfId="0" applyAlignment="1" applyProtection="1">
      <alignment horizontal="center" vertical="center"/>
      <protection hidden="1"/>
    </xf>
    <xf numFmtId="1" fontId="19" fillId="0" borderId="0" xfId="0" applyFont="1" applyAlignment="1" applyProtection="1">
      <alignment horizontal="center" vertical="center"/>
      <protection hidden="1"/>
    </xf>
    <xf numFmtId="1" fontId="37" fillId="0" borderId="0" xfId="0" applyFont="1" applyAlignment="1" applyProtection="1">
      <alignment horizontal="center" vertical="center"/>
      <protection locked="0"/>
    </xf>
    <xf numFmtId="1" fontId="0" fillId="0" borderId="0" xfId="0" applyProtection="1">
      <alignment horizontal="center" vertical="center"/>
      <protection locked="0"/>
    </xf>
    <xf numFmtId="0" fontId="37" fillId="0" borderId="0" xfId="0" applyNumberFormat="1" applyFont="1" applyBorder="1" applyAlignment="1" applyProtection="1">
      <alignment horizontal="center" vertical="center"/>
    </xf>
    <xf numFmtId="1" fontId="37" fillId="0" borderId="0" xfId="0" applyFont="1" applyBorder="1" applyAlignment="1" applyProtection="1">
      <alignment horizontal="center" vertical="center"/>
    </xf>
    <xf numFmtId="1" fontId="37" fillId="0" borderId="0" xfId="0" applyFont="1" applyAlignment="1" applyProtection="1">
      <alignment horizontal="center" vertical="center"/>
    </xf>
    <xf numFmtId="1" fontId="37" fillId="0" borderId="0" xfId="0" applyFont="1" applyProtection="1">
      <alignment horizontal="center" vertical="center"/>
    </xf>
    <xf numFmtId="1" fontId="37" fillId="0" borderId="0" xfId="0" applyFont="1" applyFill="1" applyBorder="1" applyAlignment="1" applyProtection="1">
      <alignment horizontal="center" vertical="center"/>
    </xf>
    <xf numFmtId="1" fontId="37" fillId="0" borderId="0" xfId="0" applyFont="1" applyFill="1" applyAlignment="1" applyProtection="1">
      <alignment horizontal="center" vertical="center"/>
    </xf>
    <xf numFmtId="1" fontId="38" fillId="0" borderId="0" xfId="0" applyFont="1" applyFill="1" applyBorder="1" applyAlignment="1" applyProtection="1">
      <alignment horizontal="center" vertical="center"/>
    </xf>
    <xf numFmtId="0" fontId="37" fillId="0" borderId="0" xfId="0" applyNumberFormat="1" applyFont="1" applyFill="1" applyBorder="1" applyAlignment="1" applyProtection="1">
      <alignment horizontal="center" vertical="center"/>
    </xf>
    <xf numFmtId="1" fontId="11" fillId="0" borderId="0" xfId="0" applyFont="1" applyFill="1" applyBorder="1" applyAlignment="1" applyProtection="1">
      <alignment horizontal="center" vertical="center"/>
    </xf>
    <xf numFmtId="1" fontId="41" fillId="0" borderId="7" xfId="0" applyFont="1" applyBorder="1" applyAlignment="1" applyProtection="1">
      <alignment horizontal="center" vertical="center"/>
    </xf>
    <xf numFmtId="1" fontId="41" fillId="0" borderId="0" xfId="0" applyFont="1" applyBorder="1" applyAlignment="1" applyProtection="1">
      <alignment horizontal="center" vertical="center"/>
    </xf>
    <xf numFmtId="1" fontId="41" fillId="0" borderId="6" xfId="0" applyFont="1" applyBorder="1" applyAlignment="1" applyProtection="1">
      <alignment horizontal="center" vertical="center"/>
    </xf>
    <xf numFmtId="1" fontId="41" fillId="0" borderId="1" xfId="0" applyFont="1" applyBorder="1" applyAlignment="1" applyProtection="1">
      <alignment horizontal="center" vertical="center"/>
    </xf>
    <xf numFmtId="1" fontId="41" fillId="13" borderId="7" xfId="0" applyFont="1" applyFill="1" applyBorder="1" applyAlignment="1" applyProtection="1">
      <alignment horizontal="center" vertical="center"/>
    </xf>
    <xf numFmtId="1" fontId="41" fillId="13" borderId="6" xfId="0" applyFont="1" applyFill="1" applyBorder="1" applyAlignment="1" applyProtection="1">
      <alignment horizontal="center" vertical="center"/>
    </xf>
    <xf numFmtId="1" fontId="41" fillId="13" borderId="1" xfId="0" applyFont="1" applyFill="1" applyBorder="1" applyAlignment="1" applyProtection="1">
      <alignment horizontal="center" vertical="center"/>
    </xf>
    <xf numFmtId="1" fontId="41" fillId="13" borderId="0" xfId="0" applyFont="1" applyFill="1" applyBorder="1" applyAlignment="1" applyProtection="1">
      <alignment horizontal="center" vertical="center"/>
    </xf>
    <xf numFmtId="1" fontId="41" fillId="13" borderId="11" xfId="0" applyFont="1" applyFill="1" applyBorder="1" applyAlignment="1" applyProtection="1">
      <alignment horizontal="center" vertical="center"/>
    </xf>
    <xf numFmtId="1" fontId="41" fillId="13" borderId="13" xfId="0" applyFont="1" applyFill="1" applyBorder="1" applyAlignment="1" applyProtection="1">
      <alignment horizontal="center" vertical="center"/>
    </xf>
    <xf numFmtId="1" fontId="41" fillId="13" borderId="12" xfId="0" applyFont="1" applyFill="1" applyBorder="1" applyAlignment="1" applyProtection="1">
      <alignment horizontal="center" vertical="center"/>
    </xf>
    <xf numFmtId="1" fontId="41" fillId="13" borderId="10" xfId="0" applyFont="1" applyFill="1" applyBorder="1" applyAlignment="1" applyProtection="1">
      <alignment horizontal="center" vertical="center"/>
    </xf>
    <xf numFmtId="1" fontId="33" fillId="0" borderId="7" xfId="0" applyFont="1" applyBorder="1" applyAlignment="1" applyProtection="1">
      <alignment horizontal="center" vertical="center"/>
    </xf>
    <xf numFmtId="1" fontId="33" fillId="0" borderId="6" xfId="0" applyFont="1" applyBorder="1" applyAlignment="1" applyProtection="1">
      <alignment horizontal="center" vertical="center"/>
    </xf>
    <xf numFmtId="2" fontId="42" fillId="0" borderId="7" xfId="0" applyNumberFormat="1" applyFont="1" applyBorder="1" applyAlignment="1" applyProtection="1">
      <alignment horizontal="center" vertical="center"/>
    </xf>
    <xf numFmtId="2" fontId="42" fillId="0" borderId="6" xfId="0" applyNumberFormat="1" applyFont="1" applyBorder="1" applyAlignment="1" applyProtection="1">
      <alignment horizontal="center" vertical="center"/>
    </xf>
    <xf numFmtId="2" fontId="43" fillId="0" borderId="14" xfId="0" applyNumberFormat="1" applyFont="1" applyBorder="1" applyAlignment="1" applyProtection="1">
      <alignment horizontal="center" vertical="center"/>
    </xf>
    <xf numFmtId="1" fontId="43" fillId="0" borderId="6" xfId="0" applyFont="1" applyFill="1" applyBorder="1" applyAlignment="1" applyProtection="1">
      <alignment horizontal="center" vertical="center"/>
    </xf>
    <xf numFmtId="1" fontId="41" fillId="0" borderId="14" xfId="0" applyFont="1" applyBorder="1" applyAlignment="1" applyProtection="1">
      <alignment horizontal="center" vertical="center"/>
    </xf>
    <xf numFmtId="1" fontId="41" fillId="0" borderId="9" xfId="0" applyFont="1" applyBorder="1" applyAlignment="1" applyProtection="1">
      <alignment horizontal="center" vertical="center"/>
    </xf>
    <xf numFmtId="1" fontId="33" fillId="13" borderId="7" xfId="0" applyFont="1" applyFill="1" applyBorder="1" applyAlignment="1" applyProtection="1">
      <alignment horizontal="center" vertical="center"/>
    </xf>
    <xf numFmtId="1" fontId="33" fillId="13" borderId="6" xfId="0" applyFont="1" applyFill="1" applyBorder="1" applyAlignment="1" applyProtection="1">
      <alignment horizontal="center" vertical="center"/>
    </xf>
    <xf numFmtId="164" fontId="42" fillId="13" borderId="7" xfId="0" applyNumberFormat="1" applyFont="1" applyFill="1" applyBorder="1" applyAlignment="1" applyProtection="1">
      <alignment horizontal="center" vertical="center"/>
    </xf>
    <xf numFmtId="164" fontId="42" fillId="13" borderId="6" xfId="0" applyNumberFormat="1" applyFont="1" applyFill="1" applyBorder="1" applyAlignment="1" applyProtection="1">
      <alignment horizontal="center" vertical="center"/>
    </xf>
    <xf numFmtId="0" fontId="41" fillId="13" borderId="1" xfId="1" applyFont="1" applyFill="1" applyBorder="1" applyAlignment="1" applyProtection="1">
      <alignment horizontal="center" vertical="center"/>
    </xf>
    <xf numFmtId="2" fontId="43" fillId="13" borderId="7" xfId="0" applyNumberFormat="1" applyFont="1" applyFill="1" applyBorder="1" applyAlignment="1" applyProtection="1">
      <alignment horizontal="center" vertical="center"/>
    </xf>
    <xf numFmtId="1" fontId="43" fillId="13" borderId="6" xfId="0" applyFont="1" applyFill="1" applyBorder="1" applyAlignment="1" applyProtection="1">
      <alignment horizontal="center" vertical="center"/>
    </xf>
    <xf numFmtId="2" fontId="43" fillId="0" borderId="7" xfId="0" applyNumberFormat="1" applyFont="1" applyBorder="1" applyAlignment="1" applyProtection="1">
      <alignment horizontal="center" vertical="center"/>
    </xf>
    <xf numFmtId="0" fontId="33" fillId="13" borderId="7" xfId="0" applyNumberFormat="1" applyFont="1" applyFill="1" applyBorder="1" applyAlignment="1" applyProtection="1">
      <alignment horizontal="center" vertical="center"/>
    </xf>
    <xf numFmtId="2" fontId="42" fillId="13" borderId="7" xfId="0" applyNumberFormat="1" applyFont="1" applyFill="1" applyBorder="1" applyAlignment="1" applyProtection="1">
      <alignment horizontal="center" vertical="center"/>
    </xf>
    <xf numFmtId="2" fontId="42" fillId="13" borderId="6" xfId="0" applyNumberFormat="1" applyFont="1" applyFill="1" applyBorder="1" applyAlignment="1" applyProtection="1">
      <alignment horizontal="center" vertical="center"/>
    </xf>
    <xf numFmtId="1" fontId="8" fillId="13" borderId="7" xfId="0" applyFont="1" applyFill="1" applyBorder="1" applyProtection="1">
      <alignment horizontal="center" vertical="center"/>
    </xf>
    <xf numFmtId="1" fontId="41" fillId="13" borderId="7" xfId="0" applyFont="1" applyFill="1" applyBorder="1" applyProtection="1">
      <alignment horizontal="center" vertical="center"/>
    </xf>
    <xf numFmtId="0" fontId="33" fillId="0" borderId="7" xfId="0" applyNumberFormat="1" applyFont="1" applyBorder="1" applyAlignment="1" applyProtection="1">
      <alignment horizontal="center" vertical="center"/>
    </xf>
    <xf numFmtId="0" fontId="33" fillId="0" borderId="0" xfId="0" applyNumberFormat="1" applyFont="1" applyBorder="1" applyAlignment="1" applyProtection="1">
      <alignment horizontal="center" vertical="center"/>
    </xf>
    <xf numFmtId="0" fontId="33" fillId="13" borderId="0" xfId="0" applyNumberFormat="1" applyFont="1" applyFill="1" applyBorder="1" applyAlignment="1" applyProtection="1">
      <alignment horizontal="center" vertical="center"/>
    </xf>
    <xf numFmtId="1" fontId="8" fillId="0" borderId="7" xfId="0" applyFont="1" applyBorder="1" applyProtection="1">
      <alignment horizontal="center" vertical="center"/>
    </xf>
    <xf numFmtId="1" fontId="41" fillId="0" borderId="7" xfId="0" applyFont="1" applyBorder="1" applyProtection="1">
      <alignment horizontal="center" vertical="center"/>
    </xf>
    <xf numFmtId="164" fontId="42" fillId="0" borderId="7" xfId="0" applyNumberFormat="1" applyFont="1" applyBorder="1" applyAlignment="1" applyProtection="1">
      <alignment horizontal="center" vertical="center"/>
    </xf>
    <xf numFmtId="164" fontId="42" fillId="0" borderId="6" xfId="0" applyNumberFormat="1" applyFont="1" applyBorder="1" applyAlignment="1" applyProtection="1">
      <alignment horizontal="center" vertical="center"/>
    </xf>
    <xf numFmtId="1" fontId="41" fillId="3" borderId="1" xfId="0" applyFont="1" applyFill="1" applyBorder="1" applyAlignment="1" applyProtection="1">
      <alignment horizontal="center" vertical="center"/>
    </xf>
    <xf numFmtId="1" fontId="33" fillId="0" borderId="14" xfId="0" applyFont="1" applyBorder="1" applyAlignment="1" applyProtection="1">
      <alignment horizontal="center" vertical="center"/>
    </xf>
    <xf numFmtId="1" fontId="33" fillId="0" borderId="9" xfId="0" applyFont="1" applyBorder="1" applyAlignment="1" applyProtection="1">
      <alignment horizontal="center" vertical="center"/>
    </xf>
    <xf numFmtId="1" fontId="42" fillId="0" borderId="14" xfId="0" applyFont="1" applyBorder="1" applyAlignment="1" applyProtection="1">
      <alignment horizontal="center" vertical="center"/>
    </xf>
    <xf numFmtId="1" fontId="42" fillId="13" borderId="7" xfId="0" applyFont="1" applyFill="1" applyBorder="1" applyAlignment="1" applyProtection="1">
      <alignment horizontal="center" vertical="center"/>
    </xf>
    <xf numFmtId="1" fontId="42" fillId="0" borderId="7" xfId="0" applyFont="1" applyBorder="1" applyAlignment="1" applyProtection="1">
      <alignment horizontal="center" vertical="center"/>
    </xf>
    <xf numFmtId="2" fontId="42" fillId="0" borderId="14" xfId="0" applyNumberFormat="1" applyFont="1" applyBorder="1" applyAlignment="1" applyProtection="1">
      <alignment horizontal="center" vertical="center"/>
    </xf>
    <xf numFmtId="1" fontId="41" fillId="0" borderId="8" xfId="0" applyFont="1" applyFill="1" applyBorder="1" applyAlignment="1" applyProtection="1">
      <alignment horizontal="center" vertical="center"/>
    </xf>
    <xf numFmtId="1" fontId="41" fillId="0" borderId="14" xfId="0" applyFont="1" applyFill="1" applyBorder="1" applyAlignment="1" applyProtection="1">
      <alignment horizontal="center" vertical="center"/>
    </xf>
    <xf numFmtId="1" fontId="41" fillId="0" borderId="9" xfId="0" applyFont="1" applyFill="1" applyBorder="1" applyAlignment="1" applyProtection="1">
      <alignment horizontal="center" vertical="center"/>
    </xf>
    <xf numFmtId="1" fontId="38" fillId="0" borderId="14" xfId="0" applyFont="1" applyBorder="1" applyAlignment="1" applyProtection="1">
      <alignment horizontal="left" vertical="center"/>
    </xf>
    <xf numFmtId="1" fontId="44" fillId="0" borderId="15" xfId="0" applyFont="1" applyBorder="1" applyAlignment="1" applyProtection="1">
      <alignment horizontal="center" vertical="center"/>
    </xf>
    <xf numFmtId="1" fontId="38" fillId="0" borderId="15" xfId="0" applyFont="1" applyBorder="1" applyAlignment="1" applyProtection="1">
      <alignment horizontal="left" vertical="center"/>
    </xf>
    <xf numFmtId="1" fontId="44" fillId="0" borderId="9" xfId="0" applyFont="1" applyBorder="1" applyAlignment="1" applyProtection="1">
      <alignment horizontal="center" vertical="center"/>
    </xf>
    <xf numFmtId="1" fontId="38" fillId="13" borderId="7" xfId="0" applyFont="1" applyFill="1" applyBorder="1" applyAlignment="1" applyProtection="1">
      <alignment horizontal="left" vertical="center"/>
    </xf>
    <xf numFmtId="1" fontId="44" fillId="13" borderId="6" xfId="0" applyFont="1" applyFill="1" applyBorder="1" applyAlignment="1" applyProtection="1">
      <alignment horizontal="center" vertical="center"/>
    </xf>
    <xf numFmtId="1" fontId="41" fillId="0" borderId="1" xfId="0" applyFont="1" applyFill="1" applyBorder="1" applyAlignment="1" applyProtection="1">
      <alignment horizontal="center" vertical="center"/>
    </xf>
    <xf numFmtId="1" fontId="41" fillId="0" borderId="7" xfId="0" applyFont="1" applyFill="1" applyBorder="1" applyAlignment="1" applyProtection="1">
      <alignment horizontal="center" vertical="center"/>
    </xf>
    <xf numFmtId="1" fontId="41" fillId="0" borderId="6" xfId="0" applyFont="1" applyFill="1" applyBorder="1" applyAlignment="1" applyProtection="1">
      <alignment horizontal="center" vertical="center"/>
    </xf>
    <xf numFmtId="1" fontId="38" fillId="0" borderId="7" xfId="0" applyFont="1" applyFill="1" applyBorder="1" applyAlignment="1" applyProtection="1">
      <alignment horizontal="left" vertical="center"/>
    </xf>
    <xf numFmtId="1" fontId="44" fillId="0" borderId="6" xfId="0" applyFont="1" applyFill="1" applyBorder="1" applyAlignment="1" applyProtection="1">
      <alignment horizontal="center" vertical="center"/>
    </xf>
    <xf numFmtId="1" fontId="44" fillId="0" borderId="0" xfId="0" applyFont="1" applyFill="1" applyBorder="1" applyAlignment="1" applyProtection="1">
      <alignment horizontal="center" vertical="center"/>
    </xf>
    <xf numFmtId="1" fontId="38" fillId="0" borderId="0" xfId="0" applyFont="1" applyFill="1" applyBorder="1" applyAlignment="1" applyProtection="1">
      <alignment horizontal="left" vertical="center"/>
    </xf>
    <xf numFmtId="1" fontId="38" fillId="13" borderId="11" xfId="0" applyFont="1" applyFill="1" applyBorder="1" applyAlignment="1" applyProtection="1">
      <alignment horizontal="left" vertical="center"/>
    </xf>
    <xf numFmtId="1" fontId="44" fillId="13" borderId="13" xfId="0" applyFont="1" applyFill="1" applyBorder="1" applyAlignment="1" applyProtection="1">
      <alignment horizontal="center" vertical="center"/>
    </xf>
    <xf numFmtId="1" fontId="38" fillId="13" borderId="13" xfId="0" applyFont="1" applyFill="1" applyBorder="1" applyAlignment="1" applyProtection="1">
      <alignment horizontal="left" vertical="center"/>
    </xf>
    <xf numFmtId="1" fontId="44" fillId="13" borderId="12" xfId="0" applyFont="1" applyFill="1" applyBorder="1" applyAlignment="1" applyProtection="1">
      <alignment horizontal="center" vertical="center"/>
    </xf>
    <xf numFmtId="1" fontId="41" fillId="13" borderId="8" xfId="0" applyFont="1" applyFill="1" applyBorder="1" applyAlignment="1" applyProtection="1">
      <alignment horizontal="center" vertical="center"/>
    </xf>
    <xf numFmtId="1" fontId="41" fillId="13" borderId="14" xfId="0" applyFont="1" applyFill="1" applyBorder="1" applyAlignment="1" applyProtection="1">
      <alignment horizontal="center" vertical="center"/>
    </xf>
    <xf numFmtId="1" fontId="41" fillId="13" borderId="9" xfId="0" applyFont="1" applyFill="1" applyBorder="1" applyAlignment="1" applyProtection="1">
      <alignment horizontal="center" vertical="center"/>
    </xf>
    <xf numFmtId="1" fontId="38" fillId="13" borderId="14" xfId="0" applyFont="1" applyFill="1" applyBorder="1" applyAlignment="1" applyProtection="1">
      <alignment horizontal="left" vertical="center"/>
    </xf>
    <xf numFmtId="1" fontId="44" fillId="13" borderId="15" xfId="0" applyFont="1" applyFill="1" applyBorder="1" applyAlignment="1" applyProtection="1">
      <alignment horizontal="center" vertical="center"/>
    </xf>
    <xf numFmtId="1" fontId="38" fillId="13" borderId="15" xfId="0" applyFont="1" applyFill="1" applyBorder="1" applyAlignment="1" applyProtection="1">
      <alignment horizontal="left" vertical="center"/>
    </xf>
    <xf numFmtId="1" fontId="44" fillId="13" borderId="9" xfId="0" applyFont="1" applyFill="1" applyBorder="1" applyAlignment="1" applyProtection="1">
      <alignment horizontal="center" vertical="center"/>
    </xf>
    <xf numFmtId="1" fontId="41" fillId="0" borderId="10" xfId="0" applyFont="1" applyFill="1" applyBorder="1" applyAlignment="1" applyProtection="1">
      <alignment horizontal="center" vertical="center"/>
    </xf>
    <xf numFmtId="1" fontId="41" fillId="0" borderId="11" xfId="0" applyFont="1" applyFill="1" applyBorder="1" applyAlignment="1" applyProtection="1">
      <alignment horizontal="center" vertical="center"/>
    </xf>
    <xf numFmtId="1" fontId="41" fillId="0" borderId="12" xfId="0" applyFont="1" applyFill="1" applyBorder="1" applyAlignment="1" applyProtection="1">
      <alignment horizontal="center" vertical="center"/>
    </xf>
    <xf numFmtId="1" fontId="38" fillId="0" borderId="11" xfId="0" applyFont="1" applyFill="1" applyBorder="1" applyAlignment="1" applyProtection="1">
      <alignment horizontal="left" vertical="center"/>
    </xf>
    <xf numFmtId="1" fontId="44" fillId="0" borderId="13" xfId="0" applyFont="1" applyFill="1" applyBorder="1" applyAlignment="1" applyProtection="1">
      <alignment horizontal="center" vertical="center"/>
    </xf>
    <xf numFmtId="1" fontId="38" fillId="0" borderId="13" xfId="0" applyFont="1" applyFill="1" applyBorder="1" applyAlignment="1" applyProtection="1">
      <alignment horizontal="left" vertical="center"/>
    </xf>
    <xf numFmtId="1" fontId="44" fillId="0" borderId="12" xfId="0" applyFont="1" applyFill="1" applyBorder="1" applyAlignment="1" applyProtection="1">
      <alignment horizontal="center" vertical="center"/>
    </xf>
    <xf numFmtId="1" fontId="38" fillId="0" borderId="14" xfId="0" applyFont="1" applyFill="1" applyBorder="1" applyAlignment="1" applyProtection="1">
      <alignment horizontal="left" vertical="center"/>
    </xf>
    <xf numFmtId="1" fontId="44" fillId="0" borderId="15" xfId="0" applyFont="1" applyFill="1" applyBorder="1" applyAlignment="1" applyProtection="1">
      <alignment horizontal="center" vertical="center"/>
    </xf>
    <xf numFmtId="1" fontId="38" fillId="0" borderId="15" xfId="0" applyFont="1" applyFill="1" applyBorder="1" applyAlignment="1" applyProtection="1">
      <alignment horizontal="left" vertical="center"/>
    </xf>
    <xf numFmtId="1" fontId="44" fillId="0" borderId="9" xfId="0" applyFont="1" applyFill="1" applyBorder="1" applyAlignment="1" applyProtection="1">
      <alignment horizontal="center" vertical="center"/>
    </xf>
    <xf numFmtId="1" fontId="44" fillId="13" borderId="0" xfId="0" applyFont="1" applyFill="1" applyBorder="1" applyAlignment="1" applyProtection="1">
      <alignment horizontal="center" vertical="center"/>
    </xf>
    <xf numFmtId="1" fontId="38" fillId="13" borderId="0" xfId="0" applyFont="1" applyFill="1" applyBorder="1" applyAlignment="1" applyProtection="1">
      <alignment horizontal="left" vertical="center"/>
    </xf>
    <xf numFmtId="1" fontId="41" fillId="0" borderId="7" xfId="0" applyFont="1" applyFill="1" applyBorder="1" applyProtection="1">
      <alignment horizontal="center" vertical="center"/>
    </xf>
    <xf numFmtId="1" fontId="41" fillId="13" borderId="11" xfId="0" applyFont="1" applyFill="1" applyBorder="1" applyProtection="1">
      <alignment horizontal="center" vertical="center"/>
    </xf>
    <xf numFmtId="1" fontId="41" fillId="0" borderId="15" xfId="0" applyFont="1" applyFill="1" applyBorder="1" applyAlignment="1" applyProtection="1">
      <alignment horizontal="center" vertical="center"/>
    </xf>
    <xf numFmtId="1" fontId="41" fillId="0" borderId="13" xfId="0" applyFont="1" applyFill="1" applyBorder="1" applyAlignment="1" applyProtection="1">
      <alignment horizontal="center" vertical="center"/>
    </xf>
    <xf numFmtId="1" fontId="41" fillId="0" borderId="0" xfId="0" applyFont="1" applyFill="1" applyBorder="1" applyAlignment="1" applyProtection="1">
      <alignment horizontal="center" vertical="center"/>
    </xf>
    <xf numFmtId="0" fontId="41" fillId="0" borderId="1" xfId="0" applyNumberFormat="1" applyFont="1" applyBorder="1" applyAlignment="1" applyProtection="1">
      <alignment horizontal="center" vertical="center"/>
    </xf>
    <xf numFmtId="0" fontId="41" fillId="13" borderId="1" xfId="0" applyNumberFormat="1" applyFont="1" applyFill="1" applyBorder="1" applyAlignment="1" applyProtection="1">
      <alignment horizontal="center" vertical="center"/>
    </xf>
    <xf numFmtId="1" fontId="41" fillId="13" borderId="15" xfId="0" applyFont="1" applyFill="1" applyBorder="1" applyAlignment="1" applyProtection="1">
      <alignment horizontal="center" vertical="center"/>
    </xf>
    <xf numFmtId="1" fontId="41" fillId="0" borderId="1" xfId="0" applyFont="1" applyFill="1" applyBorder="1" applyProtection="1">
      <alignment horizontal="center" vertical="center"/>
    </xf>
    <xf numFmtId="1" fontId="41" fillId="13" borderId="1" xfId="0" applyFont="1" applyFill="1" applyBorder="1" applyProtection="1">
      <alignment horizontal="center" vertical="center"/>
    </xf>
    <xf numFmtId="1" fontId="41" fillId="13" borderId="2" xfId="0" applyFont="1" applyFill="1" applyBorder="1" applyAlignment="1" applyProtection="1">
      <alignment horizontal="center" vertical="center"/>
    </xf>
    <xf numFmtId="1" fontId="41" fillId="13" borderId="5" xfId="0" applyFont="1" applyFill="1" applyBorder="1" applyAlignment="1" applyProtection="1">
      <alignment horizontal="center" vertical="center"/>
    </xf>
    <xf numFmtId="1" fontId="41" fillId="13" borderId="4" xfId="0" applyFont="1" applyFill="1" applyBorder="1" applyAlignment="1" applyProtection="1">
      <alignment horizontal="center" vertical="center"/>
    </xf>
    <xf numFmtId="1" fontId="41" fillId="13" borderId="3" xfId="0" applyFont="1" applyFill="1" applyBorder="1" applyAlignment="1" applyProtection="1">
      <alignment horizontal="center" vertical="center"/>
    </xf>
    <xf numFmtId="0" fontId="41" fillId="0" borderId="1" xfId="0" applyNumberFormat="1" applyFont="1" applyFill="1" applyBorder="1" applyAlignment="1" applyProtection="1">
      <alignment horizontal="center" vertical="center"/>
    </xf>
    <xf numFmtId="1" fontId="48" fillId="0" borderId="0" xfId="0" applyFont="1" applyAlignment="1">
      <alignment horizontal="center" vertical="center"/>
      <protection locked="0"/>
    </xf>
    <xf numFmtId="1" fontId="48" fillId="0" borderId="0" xfId="0" applyFont="1">
      <alignment horizontal="center" vertical="center"/>
      <protection locked="0"/>
    </xf>
    <xf numFmtId="1" fontId="50" fillId="0" borderId="7" xfId="0" applyFont="1" applyBorder="1" applyAlignment="1" applyProtection="1">
      <alignment horizontal="center" vertical="center"/>
    </xf>
    <xf numFmtId="1" fontId="50" fillId="0" borderId="6" xfId="0" applyFont="1" applyBorder="1" applyAlignment="1" applyProtection="1">
      <alignment horizontal="center" vertical="center"/>
    </xf>
    <xf numFmtId="1" fontId="50" fillId="0" borderId="1" xfId="0" applyFont="1" applyBorder="1" applyAlignment="1" applyProtection="1">
      <alignment horizontal="center" vertical="center"/>
    </xf>
    <xf numFmtId="1" fontId="50" fillId="0" borderId="0" xfId="0" applyFont="1" applyBorder="1" applyAlignment="1" applyProtection="1">
      <alignment horizontal="center" vertical="center"/>
    </xf>
    <xf numFmtId="1" fontId="50" fillId="0" borderId="7" xfId="0" applyFont="1" applyFill="1" applyBorder="1" applyAlignment="1" applyProtection="1">
      <alignment horizontal="center" vertical="center"/>
    </xf>
    <xf numFmtId="1" fontId="50" fillId="0" borderId="11" xfId="0" applyFont="1" applyBorder="1" applyAlignment="1" applyProtection="1">
      <alignment horizontal="center" vertical="center"/>
    </xf>
    <xf numFmtId="1" fontId="50" fillId="0" borderId="12" xfId="0" applyFont="1" applyBorder="1" applyAlignment="1" applyProtection="1">
      <alignment horizontal="center" vertical="center"/>
    </xf>
    <xf numFmtId="1" fontId="50" fillId="0" borderId="10" xfId="0" applyFont="1" applyBorder="1" applyAlignment="1" applyProtection="1">
      <alignment horizontal="center" vertical="center"/>
    </xf>
    <xf numFmtId="1" fontId="50" fillId="0" borderId="13" xfId="0" applyFont="1" applyBorder="1" applyAlignment="1" applyProtection="1">
      <alignment horizontal="center" vertical="center"/>
    </xf>
    <xf numFmtId="165" fontId="50" fillId="0" borderId="13" xfId="0" applyNumberFormat="1" applyFont="1" applyFill="1" applyBorder="1" applyAlignment="1" applyProtection="1">
      <alignment horizontal="center" vertical="center"/>
    </xf>
    <xf numFmtId="1" fontId="50" fillId="0" borderId="13" xfId="0" applyFont="1" applyFill="1" applyBorder="1" applyAlignment="1" applyProtection="1">
      <alignment horizontal="center" vertical="center"/>
    </xf>
    <xf numFmtId="1" fontId="50" fillId="0" borderId="11" xfId="0" applyFont="1" applyFill="1" applyBorder="1" applyAlignment="1" applyProtection="1">
      <alignment horizontal="center" vertical="center"/>
    </xf>
    <xf numFmtId="1" fontId="50" fillId="0" borderId="13" xfId="0" applyFont="1" applyBorder="1" applyProtection="1">
      <alignment horizontal="center" vertical="center"/>
    </xf>
    <xf numFmtId="1" fontId="50" fillId="13" borderId="14" xfId="0" applyFont="1" applyFill="1" applyBorder="1" applyAlignment="1" applyProtection="1">
      <alignment horizontal="center" vertical="center"/>
    </xf>
    <xf numFmtId="1" fontId="50" fillId="13" borderId="9" xfId="0" applyFont="1" applyFill="1" applyBorder="1" applyAlignment="1" applyProtection="1">
      <alignment horizontal="center" vertical="center"/>
    </xf>
    <xf numFmtId="1" fontId="50" fillId="13" borderId="8" xfId="0" applyFont="1" applyFill="1" applyBorder="1" applyAlignment="1" applyProtection="1">
      <alignment horizontal="center" vertical="center"/>
    </xf>
    <xf numFmtId="1" fontId="50" fillId="13" borderId="15" xfId="0" applyFont="1" applyFill="1" applyBorder="1" applyAlignment="1" applyProtection="1">
      <alignment horizontal="center" vertical="center"/>
    </xf>
    <xf numFmtId="165" fontId="50" fillId="13" borderId="15" xfId="0" applyNumberFormat="1" applyFont="1" applyFill="1" applyBorder="1" applyAlignment="1" applyProtection="1">
      <alignment horizontal="center" vertical="center"/>
    </xf>
    <xf numFmtId="1" fontId="50" fillId="13" borderId="15" xfId="0" applyFont="1" applyFill="1" applyBorder="1" applyProtection="1">
      <alignment horizontal="center" vertical="center"/>
    </xf>
    <xf numFmtId="1" fontId="50" fillId="13" borderId="7" xfId="0" applyFont="1" applyFill="1" applyBorder="1" applyAlignment="1" applyProtection="1">
      <alignment horizontal="center" vertical="center"/>
    </xf>
    <xf numFmtId="1" fontId="50" fillId="13" borderId="6" xfId="0" applyFont="1" applyFill="1" applyBorder="1" applyAlignment="1" applyProtection="1">
      <alignment horizontal="center" vertical="center"/>
    </xf>
    <xf numFmtId="1" fontId="50" fillId="13" borderId="1" xfId="0" applyFont="1" applyFill="1" applyBorder="1" applyAlignment="1" applyProtection="1">
      <alignment horizontal="center" vertical="center"/>
    </xf>
    <xf numFmtId="1" fontId="50" fillId="13" borderId="0" xfId="0" applyFont="1" applyFill="1" applyBorder="1" applyAlignment="1" applyProtection="1">
      <alignment horizontal="center" vertical="center"/>
    </xf>
    <xf numFmtId="1" fontId="50" fillId="13" borderId="11" xfId="0" applyFont="1" applyFill="1" applyBorder="1" applyAlignment="1" applyProtection="1">
      <alignment horizontal="center" vertical="center"/>
    </xf>
    <xf numFmtId="1" fontId="50" fillId="13" borderId="12" xfId="0" applyFont="1" applyFill="1" applyBorder="1" applyAlignment="1" applyProtection="1">
      <alignment horizontal="center" vertical="center"/>
    </xf>
    <xf numFmtId="1" fontId="50" fillId="13" borderId="10" xfId="0" applyFont="1" applyFill="1" applyBorder="1" applyAlignment="1" applyProtection="1">
      <alignment horizontal="center" vertical="center"/>
    </xf>
    <xf numFmtId="1" fontId="50" fillId="13" borderId="13" xfId="0" applyFont="1" applyFill="1" applyBorder="1" applyAlignment="1" applyProtection="1">
      <alignment horizontal="center" vertical="center"/>
    </xf>
    <xf numFmtId="165" fontId="50" fillId="13" borderId="13" xfId="0" applyNumberFormat="1" applyFont="1" applyFill="1" applyBorder="1" applyAlignment="1" applyProtection="1">
      <alignment horizontal="center" vertical="center"/>
    </xf>
    <xf numFmtId="1" fontId="50" fillId="13" borderId="13" xfId="0" applyFont="1" applyFill="1" applyBorder="1" applyProtection="1">
      <alignment horizontal="center" vertical="center"/>
    </xf>
    <xf numFmtId="1" fontId="50" fillId="0" borderId="14" xfId="0" applyFont="1" applyBorder="1" applyAlignment="1" applyProtection="1">
      <alignment horizontal="center" vertical="center"/>
    </xf>
    <xf numFmtId="1" fontId="50" fillId="0" borderId="9" xfId="0" applyFont="1" applyBorder="1" applyAlignment="1" applyProtection="1">
      <alignment horizontal="center" vertical="center"/>
    </xf>
    <xf numFmtId="1" fontId="50" fillId="0" borderId="8" xfId="0" applyFont="1" applyBorder="1" applyAlignment="1" applyProtection="1">
      <alignment horizontal="center" vertical="center"/>
    </xf>
    <xf numFmtId="1" fontId="50" fillId="0" borderId="15" xfId="0" applyFont="1" applyBorder="1" applyAlignment="1" applyProtection="1">
      <alignment horizontal="center" vertical="center"/>
    </xf>
    <xf numFmtId="165" fontId="50" fillId="0" borderId="15" xfId="0" applyNumberFormat="1" applyFont="1" applyFill="1" applyBorder="1" applyAlignment="1" applyProtection="1">
      <alignment horizontal="center" vertical="center"/>
    </xf>
    <xf numFmtId="1" fontId="50" fillId="0" borderId="15" xfId="0" applyFont="1" applyFill="1" applyBorder="1" applyAlignment="1" applyProtection="1">
      <alignment horizontal="center" vertical="center"/>
    </xf>
    <xf numFmtId="1" fontId="50" fillId="0" borderId="14" xfId="0" applyFont="1" applyFill="1" applyBorder="1" applyAlignment="1" applyProtection="1">
      <alignment horizontal="center" vertical="center"/>
    </xf>
    <xf numFmtId="1" fontId="50" fillId="0" borderId="15" xfId="0" applyFont="1" applyBorder="1" applyProtection="1">
      <alignment horizontal="center" vertical="center"/>
    </xf>
    <xf numFmtId="1" fontId="50" fillId="0" borderId="6" xfId="0" applyFont="1" applyFill="1" applyBorder="1" applyAlignment="1" applyProtection="1">
      <alignment horizontal="center" vertical="center"/>
    </xf>
    <xf numFmtId="1" fontId="50" fillId="0" borderId="1" xfId="0" applyFont="1" applyFill="1" applyBorder="1" applyAlignment="1" applyProtection="1">
      <alignment horizontal="center" vertical="center"/>
    </xf>
    <xf numFmtId="1" fontId="50" fillId="0" borderId="0" xfId="0" applyFont="1" applyFill="1" applyBorder="1" applyAlignment="1" applyProtection="1">
      <alignment horizontal="center" vertical="center"/>
    </xf>
    <xf numFmtId="1" fontId="50" fillId="0" borderId="12" xfId="0" applyFont="1" applyFill="1" applyBorder="1" applyAlignment="1" applyProtection="1">
      <alignment horizontal="center" vertical="center"/>
    </xf>
    <xf numFmtId="1" fontId="50" fillId="0" borderId="10" xfId="0" applyFont="1" applyFill="1" applyBorder="1" applyAlignment="1" applyProtection="1">
      <alignment horizontal="center" vertical="center"/>
    </xf>
    <xf numFmtId="1" fontId="50" fillId="0" borderId="9" xfId="0" applyFont="1" applyFill="1" applyBorder="1" applyAlignment="1" applyProtection="1">
      <alignment horizontal="center" vertical="center"/>
    </xf>
    <xf numFmtId="1" fontId="50" fillId="0" borderId="8" xfId="0" applyFont="1" applyFill="1" applyBorder="1" applyAlignment="1" applyProtection="1">
      <alignment horizontal="center" vertical="center"/>
    </xf>
    <xf numFmtId="1" fontId="50" fillId="13" borderId="5" xfId="0" applyFont="1" applyFill="1" applyBorder="1" applyAlignment="1" applyProtection="1">
      <alignment horizontal="center" vertical="center"/>
    </xf>
    <xf numFmtId="1" fontId="50" fillId="13" borderId="4" xfId="0" applyFont="1" applyFill="1" applyBorder="1" applyAlignment="1" applyProtection="1">
      <alignment horizontal="center" vertical="center"/>
    </xf>
    <xf numFmtId="1" fontId="50" fillId="13" borderId="2" xfId="0" applyFont="1" applyFill="1" applyBorder="1" applyAlignment="1" applyProtection="1">
      <alignment horizontal="center" vertical="center"/>
    </xf>
    <xf numFmtId="1" fontId="50" fillId="13" borderId="3" xfId="0" applyFont="1" applyFill="1" applyBorder="1" applyAlignment="1" applyProtection="1">
      <alignment horizontal="center" vertical="center"/>
    </xf>
    <xf numFmtId="165" fontId="50" fillId="13" borderId="3" xfId="0" applyNumberFormat="1" applyFont="1" applyFill="1" applyBorder="1" applyAlignment="1" applyProtection="1">
      <alignment horizontal="center" vertical="center"/>
    </xf>
    <xf numFmtId="1" fontId="50" fillId="13" borderId="3" xfId="0" applyFont="1" applyFill="1" applyBorder="1" applyProtection="1">
      <alignment horizontal="center" vertical="center"/>
    </xf>
    <xf numFmtId="0" fontId="50" fillId="0" borderId="14" xfId="0" applyNumberFormat="1" applyFont="1" applyFill="1" applyBorder="1" applyAlignment="1" applyProtection="1">
      <alignment horizontal="center" vertical="center"/>
    </xf>
    <xf numFmtId="1" fontId="50" fillId="0" borderId="5" xfId="0" applyFont="1" applyBorder="1" applyAlignment="1" applyProtection="1">
      <alignment horizontal="center" vertical="center"/>
    </xf>
    <xf numFmtId="1" fontId="50" fillId="0" borderId="4" xfId="0" applyFont="1" applyBorder="1" applyAlignment="1" applyProtection="1">
      <alignment horizontal="center" vertical="center"/>
    </xf>
    <xf numFmtId="1" fontId="50" fillId="0" borderId="2" xfId="0" applyFont="1" applyBorder="1" applyAlignment="1" applyProtection="1">
      <alignment horizontal="center" vertical="center"/>
    </xf>
    <xf numFmtId="1" fontId="50" fillId="0" borderId="3" xfId="0" applyFont="1" applyBorder="1" applyAlignment="1" applyProtection="1">
      <alignment horizontal="center" vertical="center"/>
    </xf>
    <xf numFmtId="165" fontId="50" fillId="0" borderId="3" xfId="0" applyNumberFormat="1" applyFont="1" applyFill="1" applyBorder="1" applyAlignment="1" applyProtection="1">
      <alignment horizontal="center" vertical="center"/>
    </xf>
    <xf numFmtId="1" fontId="50" fillId="0" borderId="3" xfId="0" applyFont="1" applyFill="1" applyBorder="1" applyAlignment="1" applyProtection="1">
      <alignment horizontal="center" vertical="center"/>
    </xf>
    <xf numFmtId="1" fontId="50" fillId="0" borderId="5" xfId="0" applyFont="1" applyFill="1" applyBorder="1" applyAlignment="1" applyProtection="1">
      <alignment horizontal="center" vertical="center"/>
    </xf>
    <xf numFmtId="1" fontId="50" fillId="0" borderId="3" xfId="0" applyFont="1" applyBorder="1" applyProtection="1">
      <alignment horizontal="center" vertical="center"/>
    </xf>
    <xf numFmtId="1" fontId="50" fillId="0" borderId="4" xfId="0" applyFont="1" applyFill="1" applyBorder="1" applyAlignment="1" applyProtection="1">
      <alignment horizontal="center" vertical="center"/>
    </xf>
    <xf numFmtId="1" fontId="50" fillId="0" borderId="2" xfId="0" applyFont="1" applyFill="1" applyBorder="1" applyAlignment="1" applyProtection="1">
      <alignment horizontal="center" vertical="center"/>
    </xf>
    <xf numFmtId="1" fontId="50" fillId="0" borderId="0" xfId="0" applyFont="1">
      <alignment horizontal="center" vertical="center"/>
      <protection locked="0"/>
    </xf>
    <xf numFmtId="1" fontId="50" fillId="0" borderId="0" xfId="0" applyFont="1" applyAlignment="1">
      <alignment horizontal="center" vertical="center"/>
      <protection locked="0"/>
    </xf>
    <xf numFmtId="1" fontId="12" fillId="10" borderId="30" xfId="0" applyFont="1" applyFill="1" applyBorder="1" applyAlignment="1" applyProtection="1">
      <alignment horizontal="center" vertical="center"/>
    </xf>
    <xf numFmtId="1" fontId="12" fillId="10" borderId="31" xfId="0" applyFont="1" applyFill="1" applyBorder="1" applyAlignment="1" applyProtection="1">
      <alignment horizontal="center" vertical="center"/>
    </xf>
    <xf numFmtId="1" fontId="12" fillId="10" borderId="32" xfId="0" applyFont="1" applyFill="1" applyBorder="1" applyAlignment="1" applyProtection="1">
      <alignment horizontal="center" vertical="center"/>
    </xf>
    <xf numFmtId="1" fontId="0" fillId="0" borderId="27" xfId="0" applyFont="1" applyBorder="1" applyAlignment="1" applyProtection="1">
      <alignment horizontal="center" vertical="center"/>
    </xf>
    <xf numFmtId="1" fontId="23" fillId="9" borderId="19" xfId="0" applyFont="1" applyFill="1" applyBorder="1" applyAlignment="1" applyProtection="1">
      <alignment horizontal="center" vertical="center"/>
      <protection locked="0"/>
    </xf>
    <xf numFmtId="1" fontId="23" fillId="9" borderId="35" xfId="0" applyFont="1" applyFill="1" applyBorder="1" applyAlignment="1" applyProtection="1">
      <alignment horizontal="center" vertical="center"/>
      <protection locked="0"/>
    </xf>
    <xf numFmtId="1" fontId="0" fillId="3" borderId="37" xfId="1" applyNumberFormat="1" applyFont="1" applyFill="1" applyBorder="1" applyAlignment="1" applyProtection="1">
      <alignment horizontal="center" vertical="center"/>
    </xf>
    <xf numFmtId="1" fontId="22" fillId="7" borderId="41" xfId="0" applyFont="1" applyFill="1" applyBorder="1" applyAlignment="1" applyProtection="1">
      <alignment horizontal="center" vertical="center"/>
    </xf>
    <xf numFmtId="1" fontId="22" fillId="7" borderId="42" xfId="0" applyFont="1" applyFill="1" applyBorder="1" applyAlignment="1" applyProtection="1">
      <alignment horizontal="center" vertical="center"/>
    </xf>
    <xf numFmtId="1" fontId="22" fillId="7" borderId="43" xfId="0" applyFont="1" applyFill="1" applyBorder="1" applyAlignment="1" applyProtection="1">
      <alignment horizontal="center" vertical="center"/>
    </xf>
    <xf numFmtId="1" fontId="22" fillId="7" borderId="45" xfId="0" applyFont="1" applyFill="1" applyBorder="1" applyAlignment="1" applyProtection="1">
      <alignment horizontal="center" vertical="center"/>
    </xf>
    <xf numFmtId="1" fontId="12" fillId="10" borderId="47" xfId="0" applyFont="1" applyFill="1" applyBorder="1" applyAlignment="1" applyProtection="1">
      <alignment horizontal="center" vertical="center"/>
    </xf>
    <xf numFmtId="1" fontId="0" fillId="0" borderId="51" xfId="0" applyFont="1" applyBorder="1" applyAlignment="1" applyProtection="1">
      <alignment horizontal="center" vertical="center"/>
    </xf>
    <xf numFmtId="1" fontId="12" fillId="5" borderId="54" xfId="0" applyFont="1" applyFill="1" applyBorder="1" applyAlignment="1" applyProtection="1">
      <alignment horizontal="center" vertical="center"/>
    </xf>
    <xf numFmtId="1" fontId="12" fillId="5" borderId="55" xfId="0" applyFont="1" applyFill="1" applyBorder="1" applyAlignment="1" applyProtection="1">
      <alignment horizontal="center" vertical="center"/>
    </xf>
    <xf numFmtId="1" fontId="12" fillId="5" borderId="56" xfId="0" applyFont="1" applyFill="1" applyBorder="1" applyAlignment="1" applyProtection="1">
      <alignment horizontal="center" vertical="center"/>
    </xf>
    <xf numFmtId="1" fontId="12" fillId="5" borderId="57" xfId="0" applyFont="1" applyFill="1" applyBorder="1" applyAlignment="1" applyProtection="1">
      <alignment horizontal="center" vertical="center"/>
    </xf>
    <xf numFmtId="1" fontId="22" fillId="7" borderId="58" xfId="0" applyFont="1" applyFill="1" applyBorder="1" applyAlignment="1" applyProtection="1">
      <alignment horizontal="center" vertical="center"/>
    </xf>
    <xf numFmtId="1" fontId="22" fillId="7" borderId="44" xfId="0" applyFont="1" applyFill="1" applyBorder="1" applyAlignment="1" applyProtection="1">
      <alignment horizontal="center" vertical="center"/>
    </xf>
    <xf numFmtId="1" fontId="12" fillId="10" borderId="60" xfId="0" applyFont="1" applyFill="1" applyBorder="1" applyAlignment="1" applyProtection="1">
      <alignment horizontal="center" vertical="center"/>
    </xf>
    <xf numFmtId="1" fontId="12" fillId="10" borderId="62" xfId="0" applyFont="1" applyFill="1" applyBorder="1" applyAlignment="1" applyProtection="1">
      <alignment horizontal="center" vertical="center"/>
    </xf>
    <xf numFmtId="1" fontId="12" fillId="10" borderId="57" xfId="0" applyFont="1" applyFill="1" applyBorder="1" applyAlignment="1" applyProtection="1">
      <alignment horizontal="center" vertical="center"/>
    </xf>
    <xf numFmtId="1" fontId="22" fillId="3" borderId="76" xfId="0" applyFont="1" applyFill="1" applyBorder="1" applyAlignment="1" applyProtection="1">
      <alignment horizontal="center" vertical="center"/>
    </xf>
    <xf numFmtId="1" fontId="22" fillId="3" borderId="77" xfId="0" applyFont="1" applyFill="1" applyBorder="1" applyAlignment="1" applyProtection="1">
      <alignment horizontal="center" vertical="center"/>
    </xf>
    <xf numFmtId="1" fontId="22" fillId="3" borderId="78" xfId="0" applyFont="1" applyFill="1" applyBorder="1" applyAlignment="1" applyProtection="1">
      <alignment horizontal="center" vertical="center"/>
    </xf>
    <xf numFmtId="1" fontId="12" fillId="5" borderId="62" xfId="0" applyFont="1" applyFill="1" applyBorder="1" applyAlignment="1" applyProtection="1">
      <alignment horizontal="center" vertical="center"/>
    </xf>
    <xf numFmtId="0" fontId="12" fillId="5" borderId="61" xfId="0" applyNumberFormat="1" applyFont="1" applyFill="1" applyBorder="1" applyAlignment="1" applyProtection="1">
      <alignment horizontal="center" vertical="center"/>
    </xf>
    <xf numFmtId="0" fontId="12" fillId="5" borderId="57" xfId="0" applyNumberFormat="1" applyFont="1" applyFill="1" applyBorder="1" applyAlignment="1" applyProtection="1">
      <alignment horizontal="center" vertical="center"/>
    </xf>
    <xf numFmtId="1" fontId="0" fillId="0" borderId="81" xfId="1" applyNumberFormat="1" applyFont="1" applyFill="1" applyBorder="1" applyAlignment="1" applyProtection="1">
      <alignment horizontal="center" vertical="center"/>
    </xf>
    <xf numFmtId="1" fontId="0" fillId="0" borderId="77" xfId="1" applyNumberFormat="1" applyFont="1" applyFill="1" applyBorder="1" applyAlignment="1" applyProtection="1">
      <alignment horizontal="center" vertical="center"/>
    </xf>
    <xf numFmtId="1" fontId="0" fillId="3" borderId="76" xfId="1" applyNumberFormat="1" applyFont="1" applyFill="1" applyBorder="1" applyAlignment="1" applyProtection="1">
      <alignment horizontal="center" vertical="center"/>
    </xf>
    <xf numFmtId="1" fontId="0" fillId="3" borderId="77" xfId="0" applyFont="1" applyFill="1" applyBorder="1" applyAlignment="1" applyProtection="1">
      <alignment horizontal="center" vertical="center"/>
    </xf>
    <xf numFmtId="1" fontId="12" fillId="5" borderId="60" xfId="0" applyFont="1" applyFill="1" applyBorder="1" applyAlignment="1" applyProtection="1">
      <alignment horizontal="center" vertical="center"/>
    </xf>
    <xf numFmtId="1" fontId="12" fillId="5" borderId="61" xfId="0" applyFont="1" applyFill="1" applyBorder="1" applyAlignment="1" applyProtection="1">
      <alignment horizontal="center" vertical="center"/>
    </xf>
    <xf numFmtId="1" fontId="12" fillId="5" borderId="53" xfId="0" applyFont="1" applyFill="1" applyBorder="1" applyAlignment="1" applyProtection="1">
      <alignment horizontal="center" vertical="center"/>
    </xf>
    <xf numFmtId="1" fontId="9" fillId="4" borderId="61" xfId="0" applyFont="1" applyFill="1" applyBorder="1" applyAlignment="1" applyProtection="1">
      <alignment horizontal="center" vertical="center"/>
    </xf>
    <xf numFmtId="1" fontId="9" fillId="4" borderId="55" xfId="0" applyFont="1" applyFill="1" applyBorder="1" applyAlignment="1" applyProtection="1">
      <alignment horizontal="center" vertical="center"/>
    </xf>
    <xf numFmtId="1" fontId="9" fillId="4" borderId="62" xfId="0" applyFont="1" applyFill="1" applyBorder="1" applyAlignment="1" applyProtection="1">
      <alignment horizontal="center" vertical="center"/>
    </xf>
    <xf numFmtId="1" fontId="9" fillId="4" borderId="57" xfId="0" applyFont="1" applyFill="1" applyBorder="1" applyAlignment="1" applyProtection="1">
      <alignment horizontal="center" vertical="center"/>
    </xf>
    <xf numFmtId="1" fontId="22" fillId="7" borderId="86" xfId="0" applyFont="1" applyFill="1" applyBorder="1" applyAlignment="1" applyProtection="1">
      <alignment horizontal="center" vertical="center"/>
    </xf>
    <xf numFmtId="1" fontId="22" fillId="7" borderId="88" xfId="0" applyFont="1" applyFill="1" applyBorder="1" applyAlignment="1" applyProtection="1">
      <alignment horizontal="center" vertical="center"/>
    </xf>
    <xf numFmtId="1" fontId="22" fillId="7" borderId="89" xfId="0" applyFont="1" applyFill="1" applyBorder="1" applyAlignment="1" applyProtection="1">
      <alignment horizontal="center" vertical="center"/>
    </xf>
    <xf numFmtId="1" fontId="9" fillId="4" borderId="90" xfId="0" applyFont="1" applyFill="1" applyBorder="1" applyAlignment="1" applyProtection="1">
      <alignment horizontal="center" vertical="center"/>
    </xf>
    <xf numFmtId="1" fontId="9" fillId="4" borderId="92" xfId="0" applyFont="1" applyFill="1" applyBorder="1" applyAlignment="1" applyProtection="1">
      <alignment horizontal="center" vertical="center"/>
    </xf>
    <xf numFmtId="1" fontId="9" fillId="4" borderId="73" xfId="0" applyFont="1" applyFill="1" applyBorder="1" applyAlignment="1" applyProtection="1">
      <alignment horizontal="center" vertical="center"/>
    </xf>
    <xf numFmtId="1" fontId="22" fillId="7" borderId="40" xfId="0" applyFont="1" applyFill="1" applyBorder="1" applyAlignment="1" applyProtection="1">
      <alignment horizontal="center" vertical="center"/>
    </xf>
    <xf numFmtId="1" fontId="0" fillId="0" borderId="0" xfId="0" applyBorder="1" applyProtection="1">
      <alignment horizontal="center" vertical="center"/>
    </xf>
    <xf numFmtId="1" fontId="0" fillId="0" borderId="28" xfId="0" applyBorder="1" applyProtection="1">
      <alignment horizontal="center" vertical="center"/>
    </xf>
    <xf numFmtId="1" fontId="0" fillId="0" borderId="27" xfId="0" applyBorder="1" applyProtection="1">
      <alignment horizontal="center" vertical="center"/>
    </xf>
    <xf numFmtId="1" fontId="0" fillId="0" borderId="51" xfId="0" applyBorder="1" applyProtection="1">
      <alignment horizontal="center" vertical="center"/>
    </xf>
    <xf numFmtId="1" fontId="12" fillId="5" borderId="93" xfId="0" applyFont="1" applyFill="1" applyBorder="1" applyAlignment="1" applyProtection="1">
      <alignment horizontal="center" vertical="center"/>
      <protection hidden="1"/>
    </xf>
    <xf numFmtId="1" fontId="23" fillId="9" borderId="94" xfId="0" applyFont="1" applyFill="1" applyBorder="1" applyAlignment="1" applyProtection="1">
      <alignment horizontal="center" vertical="center"/>
      <protection locked="0"/>
    </xf>
    <xf numFmtId="1" fontId="23" fillId="9" borderId="96" xfId="0" applyFont="1" applyFill="1" applyBorder="1" applyAlignment="1" applyProtection="1">
      <alignment horizontal="center" vertical="center"/>
      <protection locked="0"/>
    </xf>
    <xf numFmtId="1" fontId="29" fillId="3" borderId="50" xfId="0" applyFont="1" applyFill="1" applyBorder="1" applyAlignment="1" applyProtection="1">
      <alignment horizontal="left" vertical="center"/>
      <protection hidden="1"/>
    </xf>
    <xf numFmtId="1" fontId="29" fillId="3" borderId="97" xfId="0" applyFont="1" applyFill="1" applyBorder="1" applyAlignment="1" applyProtection="1">
      <alignment horizontal="left" vertical="center"/>
      <protection hidden="1"/>
    </xf>
    <xf numFmtId="1" fontId="23" fillId="9" borderId="98" xfId="0" applyFont="1" applyFill="1" applyBorder="1" applyAlignment="1" applyProtection="1">
      <alignment horizontal="center" vertical="center"/>
      <protection locked="0"/>
    </xf>
    <xf numFmtId="1" fontId="11" fillId="7" borderId="39" xfId="0" applyFont="1" applyFill="1" applyBorder="1" applyAlignment="1" applyProtection="1">
      <alignment horizontal="center" vertical="center"/>
      <protection hidden="1"/>
    </xf>
    <xf numFmtId="0" fontId="0" fillId="5" borderId="93" xfId="0" applyNumberFormat="1" applyFont="1" applyFill="1" applyBorder="1" applyAlignment="1" applyProtection="1">
      <alignment horizontal="center" vertical="center"/>
      <protection hidden="1"/>
    </xf>
    <xf numFmtId="1" fontId="29" fillId="3" borderId="100" xfId="0" applyFont="1" applyFill="1" applyBorder="1" applyAlignment="1" applyProtection="1">
      <alignment horizontal="center" vertical="center"/>
      <protection hidden="1"/>
    </xf>
    <xf numFmtId="1" fontId="23" fillId="9" borderId="101" xfId="0" applyFont="1" applyFill="1" applyBorder="1" applyAlignment="1" applyProtection="1">
      <alignment horizontal="center" vertical="center"/>
      <protection locked="0"/>
    </xf>
    <xf numFmtId="1" fontId="11" fillId="7" borderId="100" xfId="0" applyFont="1" applyFill="1" applyBorder="1" applyAlignment="1" applyProtection="1">
      <alignment horizontal="center" vertical="center"/>
      <protection hidden="1"/>
    </xf>
    <xf numFmtId="1" fontId="0" fillId="5" borderId="101" xfId="0" applyFont="1" applyFill="1" applyBorder="1" applyAlignment="1" applyProtection="1">
      <alignment horizontal="center" vertical="center"/>
      <protection hidden="1"/>
    </xf>
    <xf numFmtId="1" fontId="29" fillId="3" borderId="83" xfId="0" applyFont="1" applyFill="1" applyBorder="1" applyAlignment="1" applyProtection="1">
      <alignment horizontal="center" vertical="center"/>
      <protection hidden="1"/>
    </xf>
    <xf numFmtId="1" fontId="23" fillId="9" borderId="99" xfId="0" applyFont="1" applyFill="1" applyBorder="1" applyAlignment="1" applyProtection="1">
      <alignment horizontal="center" vertical="center"/>
      <protection locked="0"/>
    </xf>
    <xf numFmtId="1" fontId="25" fillId="9" borderId="39" xfId="0" applyFont="1" applyFill="1" applyBorder="1" applyAlignment="1" applyProtection="1">
      <alignment horizontal="center" vertical="center"/>
      <protection locked="0"/>
    </xf>
    <xf numFmtId="1" fontId="32" fillId="3" borderId="68" xfId="0" applyFont="1" applyFill="1" applyBorder="1" applyAlignment="1" applyProtection="1">
      <alignment horizontal="left" vertical="center"/>
      <protection hidden="1"/>
    </xf>
    <xf numFmtId="1" fontId="33" fillId="13" borderId="108" xfId="0" applyFont="1" applyFill="1" applyBorder="1" applyAlignment="1" applyProtection="1">
      <alignment horizontal="center" vertical="center"/>
      <protection hidden="1"/>
    </xf>
    <xf numFmtId="1" fontId="32" fillId="3" borderId="50" xfId="0" applyFont="1" applyFill="1" applyBorder="1" applyAlignment="1" applyProtection="1">
      <alignment horizontal="left" vertical="center"/>
      <protection hidden="1"/>
    </xf>
    <xf numFmtId="1" fontId="33" fillId="13" borderId="94" xfId="0" applyFont="1" applyFill="1" applyBorder="1" applyAlignment="1" applyProtection="1">
      <alignment horizontal="center" vertical="center"/>
      <protection hidden="1"/>
    </xf>
    <xf numFmtId="1" fontId="32" fillId="3" borderId="69" xfId="0" applyFont="1" applyFill="1" applyBorder="1" applyAlignment="1" applyProtection="1">
      <alignment horizontal="left" vertical="center"/>
      <protection hidden="1"/>
    </xf>
    <xf numFmtId="1" fontId="33" fillId="13" borderId="96" xfId="0" applyFont="1" applyFill="1" applyBorder="1" applyAlignment="1" applyProtection="1">
      <alignment horizontal="center" vertical="center"/>
      <protection hidden="1"/>
    </xf>
    <xf numFmtId="1" fontId="22" fillId="7" borderId="39" xfId="0" applyFont="1" applyFill="1" applyBorder="1" applyAlignment="1" applyProtection="1">
      <alignment horizontal="center" vertical="center"/>
      <protection hidden="1"/>
    </xf>
    <xf numFmtId="2" fontId="30" fillId="9" borderId="93" xfId="0" applyNumberFormat="1" applyFont="1" applyFill="1" applyBorder="1" applyAlignment="1" applyProtection="1">
      <alignment horizontal="center" vertical="center"/>
      <protection locked="0"/>
    </xf>
    <xf numFmtId="1" fontId="12" fillId="5" borderId="110" xfId="0" applyFont="1" applyFill="1" applyBorder="1" applyAlignment="1" applyProtection="1">
      <alignment horizontal="center" vertical="center"/>
      <protection hidden="1"/>
    </xf>
    <xf numFmtId="1" fontId="32" fillId="3" borderId="68" xfId="0" applyFont="1" applyFill="1" applyBorder="1" applyAlignment="1" applyProtection="1">
      <alignment horizontal="center" vertical="center"/>
      <protection hidden="1"/>
    </xf>
    <xf numFmtId="1" fontId="12" fillId="5" borderId="94" xfId="0" applyFont="1" applyFill="1" applyBorder="1" applyAlignment="1" applyProtection="1">
      <alignment horizontal="center" vertical="center"/>
      <protection hidden="1"/>
    </xf>
    <xf numFmtId="1" fontId="32" fillId="3" borderId="69" xfId="0" applyFont="1" applyFill="1" applyBorder="1" applyAlignment="1" applyProtection="1">
      <alignment horizontal="center" vertical="center"/>
      <protection hidden="1"/>
    </xf>
    <xf numFmtId="1" fontId="12" fillId="5" borderId="96" xfId="0" applyFont="1" applyFill="1" applyBorder="1" applyAlignment="1" applyProtection="1">
      <alignment horizontal="center" vertical="center"/>
      <protection hidden="1"/>
    </xf>
    <xf numFmtId="165" fontId="3" fillId="5" borderId="108" xfId="0" applyNumberFormat="1" applyFont="1" applyFill="1" applyBorder="1" applyAlignment="1" applyProtection="1">
      <alignment horizontal="center" vertical="center"/>
      <protection hidden="1"/>
    </xf>
    <xf numFmtId="1" fontId="3" fillId="5" borderId="96" xfId="0" applyFont="1" applyFill="1" applyBorder="1" applyAlignment="1" applyProtection="1">
      <alignment horizontal="center" vertical="center"/>
      <protection hidden="1"/>
    </xf>
    <xf numFmtId="1" fontId="32" fillId="3" borderId="100" xfId="0" applyFont="1" applyFill="1" applyBorder="1" applyAlignment="1" applyProtection="1">
      <alignment horizontal="center" vertical="center"/>
      <protection hidden="1"/>
    </xf>
    <xf numFmtId="1" fontId="35" fillId="3" borderId="50" xfId="0" applyFont="1" applyFill="1" applyBorder="1" applyAlignment="1" applyProtection="1">
      <alignment horizontal="center" vertical="center"/>
      <protection hidden="1"/>
    </xf>
    <xf numFmtId="1" fontId="35" fillId="3" borderId="68" xfId="0" applyFont="1" applyFill="1" applyBorder="1" applyAlignment="1" applyProtection="1">
      <alignment horizontal="center" vertical="center"/>
      <protection hidden="1"/>
    </xf>
    <xf numFmtId="1" fontId="35" fillId="3" borderId="100" xfId="0" applyFont="1" applyFill="1" applyBorder="1" applyAlignment="1" applyProtection="1">
      <alignment horizontal="center" vertical="center"/>
      <protection hidden="1"/>
    </xf>
    <xf numFmtId="1" fontId="29" fillId="3" borderId="68" xfId="0" applyFont="1" applyFill="1" applyBorder="1" applyAlignment="1" applyProtection="1">
      <alignment horizontal="left" vertical="center"/>
      <protection hidden="1"/>
    </xf>
    <xf numFmtId="1" fontId="12" fillId="14" borderId="94" xfId="0" applyFont="1" applyFill="1" applyBorder="1" applyAlignment="1" applyProtection="1">
      <alignment horizontal="center" vertical="center"/>
      <protection hidden="1"/>
    </xf>
    <xf numFmtId="1" fontId="29" fillId="3" borderId="69" xfId="0" applyFont="1" applyFill="1" applyBorder="1" applyAlignment="1" applyProtection="1">
      <alignment horizontal="left" vertical="center"/>
      <protection hidden="1"/>
    </xf>
    <xf numFmtId="1" fontId="12" fillId="14" borderId="96" xfId="0" applyFont="1" applyFill="1" applyBorder="1" applyAlignment="1" applyProtection="1">
      <alignment horizontal="center" vertical="center"/>
      <protection hidden="1"/>
    </xf>
    <xf numFmtId="1" fontId="29" fillId="10" borderId="63" xfId="0" applyFont="1" applyFill="1" applyBorder="1" applyAlignment="1" applyProtection="1">
      <alignment horizontal="left" vertical="center"/>
      <protection hidden="1"/>
    </xf>
    <xf numFmtId="1" fontId="9" fillId="4" borderId="110" xfId="0" applyFont="1" applyFill="1" applyBorder="1" applyAlignment="1" applyProtection="1">
      <alignment horizontal="center" vertical="center"/>
      <protection hidden="1"/>
    </xf>
    <xf numFmtId="1" fontId="29" fillId="10" borderId="50" xfId="0" applyFont="1" applyFill="1" applyBorder="1" applyAlignment="1" applyProtection="1">
      <alignment horizontal="left" vertical="center"/>
      <protection hidden="1"/>
    </xf>
    <xf numFmtId="1" fontId="9" fillId="4" borderId="94" xfId="0" applyFont="1" applyFill="1" applyBorder="1" applyAlignment="1" applyProtection="1">
      <alignment horizontal="center" vertical="center"/>
      <protection hidden="1"/>
    </xf>
    <xf numFmtId="1" fontId="29" fillId="10" borderId="69" xfId="0" applyFont="1" applyFill="1" applyBorder="1" applyAlignment="1" applyProtection="1">
      <alignment horizontal="left" vertical="center"/>
      <protection hidden="1"/>
    </xf>
    <xf numFmtId="1" fontId="9" fillId="4" borderId="96" xfId="0" applyFont="1" applyFill="1" applyBorder="1" applyAlignment="1" applyProtection="1">
      <alignment horizontal="center" vertical="center"/>
      <protection hidden="1"/>
    </xf>
    <xf numFmtId="1" fontId="0" fillId="12" borderId="0" xfId="0" applyFill="1" applyBorder="1" applyAlignment="1" applyProtection="1">
      <alignment horizontal="center" vertical="center"/>
      <protection hidden="1"/>
    </xf>
    <xf numFmtId="0" fontId="11" fillId="7" borderId="115" xfId="0" applyNumberFormat="1" applyFont="1" applyFill="1" applyBorder="1" applyAlignment="1" applyProtection="1">
      <alignment horizontal="center" vertical="center"/>
    </xf>
    <xf numFmtId="0" fontId="11" fillId="7" borderId="119" xfId="0" applyNumberFormat="1" applyFont="1" applyFill="1" applyBorder="1" applyAlignment="1" applyProtection="1">
      <alignment horizontal="center" vertical="center"/>
    </xf>
    <xf numFmtId="0" fontId="11" fillId="7" borderId="118" xfId="0" applyNumberFormat="1" applyFont="1" applyFill="1" applyBorder="1" applyAlignment="1" applyProtection="1">
      <alignment horizontal="center" vertical="center"/>
    </xf>
    <xf numFmtId="1" fontId="39" fillId="7" borderId="39" xfId="0" applyFont="1" applyFill="1" applyBorder="1" applyAlignment="1" applyProtection="1">
      <alignment horizontal="center" vertical="center"/>
    </xf>
    <xf numFmtId="1" fontId="39" fillId="7" borderId="89" xfId="0" applyFont="1" applyFill="1" applyBorder="1" applyAlignment="1" applyProtection="1">
      <alignment horizontal="center" vertical="center"/>
    </xf>
    <xf numFmtId="0" fontId="32" fillId="3" borderId="50" xfId="0" applyNumberFormat="1" applyFont="1" applyFill="1" applyBorder="1" applyAlignment="1" applyProtection="1">
      <alignment horizontal="center" vertical="center"/>
    </xf>
    <xf numFmtId="1" fontId="24" fillId="0" borderId="51" xfId="0" applyFont="1" applyBorder="1" applyAlignment="1" applyProtection="1">
      <alignment horizontal="center" vertical="center"/>
    </xf>
    <xf numFmtId="0" fontId="32" fillId="7" borderId="50" xfId="0" applyNumberFormat="1" applyFont="1" applyFill="1" applyBorder="1" applyAlignment="1" applyProtection="1">
      <alignment horizontal="center" vertical="center"/>
    </xf>
    <xf numFmtId="1" fontId="24" fillId="13" borderId="51" xfId="0" applyFont="1" applyFill="1" applyBorder="1" applyAlignment="1" applyProtection="1">
      <alignment horizontal="center" vertical="center"/>
    </xf>
    <xf numFmtId="1" fontId="32" fillId="3" borderId="50" xfId="0" applyFont="1" applyFill="1" applyBorder="1" applyAlignment="1" applyProtection="1">
      <alignment horizontal="center" vertical="center"/>
    </xf>
    <xf numFmtId="1" fontId="32" fillId="7" borderId="50" xfId="0" applyFont="1" applyFill="1" applyBorder="1" applyAlignment="1" applyProtection="1">
      <alignment horizontal="center" vertical="center"/>
    </xf>
    <xf numFmtId="1" fontId="40" fillId="0" borderId="51" xfId="0" applyFont="1" applyBorder="1" applyAlignment="1" applyProtection="1">
      <alignment horizontal="center" vertical="center"/>
    </xf>
    <xf numFmtId="1" fontId="24" fillId="0" borderId="51" xfId="0" applyFont="1" applyFill="1" applyBorder="1" applyAlignment="1" applyProtection="1">
      <alignment horizontal="center" vertical="center"/>
    </xf>
    <xf numFmtId="1" fontId="32" fillId="3" borderId="69" xfId="0" applyFont="1" applyFill="1" applyBorder="1" applyAlignment="1" applyProtection="1">
      <alignment horizontal="center" vertical="center"/>
    </xf>
    <xf numFmtId="1" fontId="24" fillId="0" borderId="73" xfId="0" applyFont="1" applyBorder="1" applyAlignment="1" applyProtection="1">
      <alignment horizontal="center" vertical="center"/>
    </xf>
    <xf numFmtId="1" fontId="32" fillId="3" borderId="68" xfId="0" applyFont="1" applyFill="1" applyBorder="1" applyAlignment="1" applyProtection="1">
      <alignment horizontal="center" vertical="center"/>
    </xf>
    <xf numFmtId="1" fontId="33" fillId="13" borderId="94" xfId="0" applyFont="1" applyFill="1" applyBorder="1" applyAlignment="1" applyProtection="1">
      <alignment horizontal="center" vertical="center"/>
    </xf>
    <xf numFmtId="1" fontId="32" fillId="7" borderId="69" xfId="0" applyFont="1" applyFill="1" applyBorder="1" applyAlignment="1" applyProtection="1">
      <alignment horizontal="center" vertical="center"/>
    </xf>
    <xf numFmtId="1" fontId="33" fillId="13" borderId="96" xfId="0" applyFont="1" applyFill="1" applyBorder="1" applyProtection="1">
      <alignment horizontal="center" vertical="center"/>
    </xf>
    <xf numFmtId="1" fontId="39" fillId="7" borderId="40" xfId="0" applyFont="1" applyFill="1" applyBorder="1" applyAlignment="1" applyProtection="1">
      <alignment horizontal="center" vertical="center"/>
    </xf>
    <xf numFmtId="1" fontId="39" fillId="7" borderId="120" xfId="0" applyFont="1" applyFill="1" applyBorder="1" applyAlignment="1" applyProtection="1">
      <alignment horizontal="center" vertical="center"/>
    </xf>
    <xf numFmtId="1" fontId="39" fillId="7" borderId="121" xfId="0" applyFont="1" applyFill="1" applyBorder="1" applyAlignment="1" applyProtection="1">
      <alignment horizontal="center" vertical="center"/>
    </xf>
    <xf numFmtId="1" fontId="39" fillId="7" borderId="82" xfId="0" applyFont="1" applyFill="1" applyBorder="1" applyAlignment="1" applyProtection="1">
      <alignment horizontal="center" vertical="center"/>
    </xf>
    <xf numFmtId="1" fontId="41" fillId="0" borderId="51" xfId="0" applyFont="1" applyBorder="1" applyAlignment="1" applyProtection="1">
      <alignment horizontal="center" vertical="center"/>
    </xf>
    <xf numFmtId="1" fontId="41" fillId="13" borderId="51" xfId="0" applyFont="1" applyFill="1" applyBorder="1" applyAlignment="1" applyProtection="1">
      <alignment horizontal="center" vertical="center"/>
    </xf>
    <xf numFmtId="1" fontId="41" fillId="13" borderId="91" xfId="0" applyFont="1" applyFill="1" applyBorder="1" applyAlignment="1" applyProtection="1">
      <alignment horizontal="center" vertical="center"/>
    </xf>
    <xf numFmtId="1" fontId="41" fillId="13" borderId="72" xfId="0" applyFont="1" applyFill="1" applyBorder="1" applyAlignment="1" applyProtection="1">
      <alignment horizontal="center" vertical="center"/>
    </xf>
    <xf numFmtId="1" fontId="41" fillId="13" borderId="122" xfId="0" applyFont="1" applyFill="1" applyBorder="1" applyAlignment="1" applyProtection="1">
      <alignment horizontal="center" vertical="center"/>
    </xf>
    <xf numFmtId="1" fontId="41" fillId="13" borderId="95" xfId="0" applyFont="1" applyFill="1" applyBorder="1" applyAlignment="1" applyProtection="1">
      <alignment horizontal="center" vertical="center"/>
    </xf>
    <xf numFmtId="1" fontId="41" fillId="13" borderId="73" xfId="0" applyFont="1" applyFill="1" applyBorder="1" applyAlignment="1" applyProtection="1">
      <alignment horizontal="center" vertical="center"/>
    </xf>
    <xf numFmtId="1" fontId="33" fillId="0" borderId="0" xfId="0" applyFont="1" applyBorder="1" applyAlignment="1" applyProtection="1">
      <alignment horizontal="center" vertical="center"/>
    </xf>
    <xf numFmtId="1" fontId="41" fillId="0" borderId="123" xfId="0" applyFont="1" applyBorder="1" applyAlignment="1" applyProtection="1">
      <alignment horizontal="center" vertical="center"/>
    </xf>
    <xf numFmtId="1" fontId="33" fillId="13" borderId="0" xfId="0" applyFont="1" applyFill="1" applyBorder="1" applyAlignment="1" applyProtection="1">
      <alignment horizontal="center" vertical="center"/>
    </xf>
    <xf numFmtId="0" fontId="32" fillId="3" borderId="69" xfId="0" applyNumberFormat="1" applyFont="1" applyFill="1" applyBorder="1" applyAlignment="1" applyProtection="1">
      <alignment horizontal="center" vertical="center"/>
    </xf>
    <xf numFmtId="1" fontId="33" fillId="0" borderId="91" xfId="0" applyFont="1" applyBorder="1" applyAlignment="1" applyProtection="1">
      <alignment horizontal="center" vertical="center"/>
    </xf>
    <xf numFmtId="1" fontId="33" fillId="0" borderId="72" xfId="0" applyFont="1" applyBorder="1" applyAlignment="1" applyProtection="1">
      <alignment horizontal="center" vertical="center"/>
    </xf>
    <xf numFmtId="1" fontId="33" fillId="0" borderId="122" xfId="0" applyFont="1" applyBorder="1" applyAlignment="1" applyProtection="1">
      <alignment horizontal="center" vertical="center"/>
    </xf>
    <xf numFmtId="2" fontId="42" fillId="0" borderId="91" xfId="0" applyNumberFormat="1" applyFont="1" applyBorder="1" applyAlignment="1" applyProtection="1">
      <alignment horizontal="center" vertical="center"/>
    </xf>
    <xf numFmtId="2" fontId="42" fillId="0" borderId="122" xfId="0" applyNumberFormat="1" applyFont="1" applyBorder="1" applyAlignment="1" applyProtection="1">
      <alignment horizontal="center" vertical="center"/>
    </xf>
    <xf numFmtId="1" fontId="41" fillId="0" borderId="95" xfId="0" applyFont="1" applyBorder="1" applyAlignment="1" applyProtection="1">
      <alignment horizontal="center" vertical="center"/>
    </xf>
    <xf numFmtId="2" fontId="43" fillId="0" borderId="91" xfId="0" applyNumberFormat="1" applyFont="1" applyBorder="1" applyAlignment="1" applyProtection="1">
      <alignment horizontal="center" vertical="center"/>
    </xf>
    <xf numFmtId="1" fontId="43" fillId="0" borderId="122" xfId="0" applyFont="1" applyFill="1" applyBorder="1" applyAlignment="1" applyProtection="1">
      <alignment horizontal="center" vertical="center"/>
    </xf>
    <xf numFmtId="1" fontId="41" fillId="0" borderId="91" xfId="0" applyFont="1" applyBorder="1" applyAlignment="1" applyProtection="1">
      <alignment horizontal="center" vertical="center"/>
    </xf>
    <xf numFmtId="1" fontId="41" fillId="0" borderId="122" xfId="0" applyFont="1" applyBorder="1" applyAlignment="1" applyProtection="1">
      <alignment horizontal="center" vertical="center"/>
    </xf>
    <xf numFmtId="1" fontId="41" fillId="0" borderId="73" xfId="0" applyFont="1" applyBorder="1" applyAlignment="1" applyProtection="1">
      <alignment horizontal="center" vertical="center"/>
    </xf>
    <xf numFmtId="2" fontId="39" fillId="7" borderId="40" xfId="0" applyNumberFormat="1" applyFont="1" applyFill="1" applyBorder="1" applyAlignment="1" applyProtection="1">
      <alignment horizontal="center" vertical="center"/>
    </xf>
    <xf numFmtId="2" fontId="39" fillId="7" borderId="121" xfId="0" applyNumberFormat="1" applyFont="1" applyFill="1" applyBorder="1" applyAlignment="1" applyProtection="1">
      <alignment horizontal="center" vertical="center"/>
    </xf>
    <xf numFmtId="164" fontId="42" fillId="0" borderId="91" xfId="0" applyNumberFormat="1" applyFont="1" applyBorder="1" applyAlignment="1" applyProtection="1">
      <alignment horizontal="center" vertical="center"/>
    </xf>
    <xf numFmtId="164" fontId="42" fillId="0" borderId="122" xfId="0" applyNumberFormat="1" applyFont="1" applyBorder="1" applyAlignment="1" applyProtection="1">
      <alignment horizontal="center" vertical="center"/>
    </xf>
    <xf numFmtId="1" fontId="41" fillId="3" borderId="95" xfId="0" applyFont="1" applyFill="1" applyBorder="1" applyAlignment="1" applyProtection="1">
      <alignment horizontal="center" vertical="center"/>
    </xf>
    <xf numFmtId="164" fontId="39" fillId="7" borderId="40" xfId="0" applyNumberFormat="1" applyFont="1" applyFill="1" applyBorder="1" applyAlignment="1" applyProtection="1">
      <alignment horizontal="center" vertical="center"/>
    </xf>
    <xf numFmtId="164" fontId="39" fillId="7" borderId="121" xfId="0" applyNumberFormat="1" applyFont="1" applyFill="1" applyBorder="1" applyAlignment="1" applyProtection="1">
      <alignment horizontal="center" vertical="center"/>
    </xf>
    <xf numFmtId="0" fontId="32" fillId="7" borderId="69" xfId="0" applyNumberFormat="1" applyFont="1" applyFill="1" applyBorder="1" applyAlignment="1" applyProtection="1">
      <alignment horizontal="center" vertical="center"/>
    </xf>
    <xf numFmtId="1" fontId="33" fillId="13" borderId="91" xfId="0" applyFont="1" applyFill="1" applyBorder="1" applyAlignment="1" applyProtection="1">
      <alignment horizontal="center" vertical="center"/>
    </xf>
    <xf numFmtId="1" fontId="33" fillId="13" borderId="72" xfId="0" applyFont="1" applyFill="1" applyBorder="1" applyAlignment="1" applyProtection="1">
      <alignment horizontal="center" vertical="center"/>
    </xf>
    <xf numFmtId="1" fontId="33" fillId="13" borderId="122" xfId="0" applyFont="1" applyFill="1" applyBorder="1" applyAlignment="1" applyProtection="1">
      <alignment horizontal="center" vertical="center"/>
    </xf>
    <xf numFmtId="164" fontId="42" fillId="13" borderId="91" xfId="0" applyNumberFormat="1" applyFont="1" applyFill="1" applyBorder="1" applyAlignment="1" applyProtection="1">
      <alignment horizontal="center" vertical="center"/>
    </xf>
    <xf numFmtId="164" fontId="42" fillId="13" borderId="122" xfId="0" applyNumberFormat="1" applyFont="1" applyFill="1" applyBorder="1" applyAlignment="1" applyProtection="1">
      <alignment horizontal="center" vertical="center"/>
    </xf>
    <xf numFmtId="1" fontId="42" fillId="0" borderId="123" xfId="0" applyFont="1" applyBorder="1" applyAlignment="1" applyProtection="1">
      <alignment horizontal="center" vertical="center"/>
    </xf>
    <xf numFmtId="1" fontId="42" fillId="13" borderId="51" xfId="0" applyFont="1" applyFill="1" applyBorder="1" applyAlignment="1" applyProtection="1">
      <alignment horizontal="center" vertical="center"/>
    </xf>
    <xf numFmtId="1" fontId="42" fillId="0" borderId="51" xfId="0" applyFont="1" applyBorder="1" applyAlignment="1" applyProtection="1">
      <alignment horizontal="center" vertical="center"/>
    </xf>
    <xf numFmtId="2" fontId="42" fillId="0" borderId="51" xfId="0" applyNumberFormat="1" applyFont="1" applyBorder="1" applyAlignment="1" applyProtection="1">
      <alignment horizontal="center" vertical="center"/>
    </xf>
    <xf numFmtId="2" fontId="42" fillId="13" borderId="51" xfId="0" applyNumberFormat="1" applyFont="1" applyFill="1" applyBorder="1" applyAlignment="1" applyProtection="1">
      <alignment horizontal="center" vertical="center"/>
    </xf>
    <xf numFmtId="1" fontId="42" fillId="0" borderId="91" xfId="0" applyFont="1" applyBorder="1" applyAlignment="1" applyProtection="1">
      <alignment horizontal="center" vertical="center"/>
    </xf>
    <xf numFmtId="1" fontId="42" fillId="0" borderId="73" xfId="0" applyFont="1" applyBorder="1" applyAlignment="1" applyProtection="1">
      <alignment horizontal="center" vertical="center"/>
    </xf>
    <xf numFmtId="2" fontId="42" fillId="0" borderId="123" xfId="0" applyNumberFormat="1" applyFont="1" applyBorder="1" applyAlignment="1" applyProtection="1">
      <alignment horizontal="center" vertical="center"/>
    </xf>
    <xf numFmtId="2" fontId="42" fillId="0" borderId="73" xfId="0" applyNumberFormat="1" applyFont="1" applyBorder="1" applyAlignment="1" applyProtection="1">
      <alignment horizontal="center" vertical="center"/>
    </xf>
    <xf numFmtId="1" fontId="22" fillId="7" borderId="39" xfId="0" applyFont="1" applyFill="1" applyBorder="1" applyAlignment="1" applyProtection="1">
      <alignment horizontal="center" vertical="center"/>
    </xf>
    <xf numFmtId="1" fontId="22" fillId="7" borderId="82" xfId="0" applyFont="1" applyFill="1" applyBorder="1" applyAlignment="1" applyProtection="1">
      <alignment horizontal="center" vertical="center"/>
    </xf>
    <xf numFmtId="1" fontId="22" fillId="7" borderId="121" xfId="0" applyFont="1" applyFill="1" applyBorder="1" applyAlignment="1" applyProtection="1">
      <alignment horizontal="center" vertical="center"/>
    </xf>
    <xf numFmtId="1" fontId="22" fillId="7" borderId="120" xfId="0" applyFont="1" applyFill="1" applyBorder="1" applyAlignment="1" applyProtection="1">
      <alignment horizontal="center" vertical="center"/>
    </xf>
    <xf numFmtId="1" fontId="44" fillId="0" borderId="123" xfId="0" applyFont="1" applyBorder="1" applyAlignment="1" applyProtection="1">
      <alignment horizontal="center" vertical="center"/>
    </xf>
    <xf numFmtId="1" fontId="44" fillId="13" borderId="51" xfId="0" applyFont="1" applyFill="1" applyBorder="1" applyAlignment="1" applyProtection="1">
      <alignment horizontal="center" vertical="center"/>
    </xf>
    <xf numFmtId="1" fontId="44" fillId="0" borderId="51" xfId="0" applyFont="1" applyFill="1" applyBorder="1" applyAlignment="1" applyProtection="1">
      <alignment horizontal="center" vertical="center"/>
    </xf>
    <xf numFmtId="1" fontId="32" fillId="7" borderId="97" xfId="0" applyFont="1" applyFill="1" applyBorder="1" applyAlignment="1" applyProtection="1">
      <alignment horizontal="center" vertical="center"/>
    </xf>
    <xf numFmtId="1" fontId="44" fillId="13" borderId="124" xfId="0" applyFont="1" applyFill="1" applyBorder="1" applyAlignment="1" applyProtection="1">
      <alignment horizontal="center" vertical="center"/>
    </xf>
    <xf numFmtId="1" fontId="32" fillId="7" borderId="68" xfId="0" applyFont="1" applyFill="1" applyBorder="1" applyAlignment="1" applyProtection="1">
      <alignment horizontal="center" vertical="center"/>
    </xf>
    <xf numFmtId="1" fontId="44" fillId="13" borderId="123" xfId="0" applyFont="1" applyFill="1" applyBorder="1" applyAlignment="1" applyProtection="1">
      <alignment horizontal="center" vertical="center"/>
    </xf>
    <xf numFmtId="1" fontId="32" fillId="3" borderId="97" xfId="0" applyFont="1" applyFill="1" applyBorder="1" applyAlignment="1" applyProtection="1">
      <alignment horizontal="center" vertical="center"/>
    </xf>
    <xf numFmtId="1" fontId="44" fillId="0" borderId="124" xfId="0" applyFont="1" applyFill="1" applyBorder="1" applyAlignment="1" applyProtection="1">
      <alignment horizontal="center" vertical="center"/>
    </xf>
    <xf numFmtId="1" fontId="44" fillId="0" borderId="123" xfId="0" applyFont="1" applyFill="1" applyBorder="1" applyAlignment="1" applyProtection="1">
      <alignment horizontal="center" vertical="center"/>
    </xf>
    <xf numFmtId="1" fontId="41" fillId="0" borderId="95" xfId="0" applyFont="1" applyFill="1" applyBorder="1" applyAlignment="1" applyProtection="1">
      <alignment horizontal="center" vertical="center"/>
    </xf>
    <xf numFmtId="1" fontId="41" fillId="0" borderId="91" xfId="0" applyFont="1" applyFill="1" applyBorder="1" applyAlignment="1" applyProtection="1">
      <alignment horizontal="center" vertical="center"/>
    </xf>
    <xf numFmtId="1" fontId="41" fillId="0" borderId="122" xfId="0" applyFont="1" applyFill="1" applyBorder="1" applyAlignment="1" applyProtection="1">
      <alignment horizontal="center" vertical="center"/>
    </xf>
    <xf numFmtId="1" fontId="45" fillId="0" borderId="51" xfId="0" applyFont="1" applyBorder="1" applyProtection="1">
      <alignment horizontal="center" vertical="center"/>
    </xf>
    <xf numFmtId="1" fontId="45" fillId="13" borderId="51" xfId="0" applyFont="1" applyFill="1" applyBorder="1" applyProtection="1">
      <alignment horizontal="center" vertical="center"/>
    </xf>
    <xf numFmtId="1" fontId="45" fillId="0" borderId="123" xfId="0" applyFont="1" applyBorder="1" applyProtection="1">
      <alignment horizontal="center" vertical="center"/>
    </xf>
    <xf numFmtId="1" fontId="45" fillId="0" borderId="124" xfId="0" applyFont="1" applyBorder="1" applyProtection="1">
      <alignment horizontal="center" vertical="center"/>
    </xf>
    <xf numFmtId="1" fontId="45" fillId="13" borderId="51" xfId="0" applyFont="1" applyFill="1" applyBorder="1" applyAlignment="1" applyProtection="1">
      <alignment horizontal="center" vertical="center"/>
    </xf>
    <xf numFmtId="1" fontId="45" fillId="0" borderId="51" xfId="0" applyFont="1" applyBorder="1" applyAlignment="1" applyProtection="1">
      <alignment horizontal="center" vertical="center"/>
    </xf>
    <xf numFmtId="1" fontId="45" fillId="0" borderId="123" xfId="0" applyFont="1" applyBorder="1" applyAlignment="1" applyProtection="1">
      <alignment horizontal="center" vertical="center"/>
    </xf>
    <xf numFmtId="1" fontId="45" fillId="13" borderId="124" xfId="0" applyFont="1" applyFill="1" applyBorder="1" applyAlignment="1" applyProtection="1">
      <alignment horizontal="center" vertical="center"/>
    </xf>
    <xf numFmtId="1" fontId="45" fillId="13" borderId="123" xfId="0" applyFont="1" applyFill="1" applyBorder="1" applyAlignment="1" applyProtection="1">
      <alignment horizontal="center" vertical="center"/>
    </xf>
    <xf numFmtId="1" fontId="45" fillId="13" borderId="103" xfId="0" applyFont="1" applyFill="1" applyBorder="1" applyAlignment="1" applyProtection="1">
      <alignment horizontal="center" vertical="center"/>
    </xf>
    <xf numFmtId="1" fontId="41" fillId="0" borderId="72" xfId="0" applyFont="1" applyFill="1" applyBorder="1" applyAlignment="1" applyProtection="1">
      <alignment horizontal="center" vertical="center"/>
    </xf>
    <xf numFmtId="1" fontId="45" fillId="0" borderId="73" xfId="0" applyFont="1" applyBorder="1" applyAlignment="1" applyProtection="1">
      <alignment horizontal="center" vertical="center"/>
    </xf>
    <xf numFmtId="1" fontId="33" fillId="0" borderId="51" xfId="0" applyFont="1" applyBorder="1" applyAlignment="1" applyProtection="1">
      <alignment horizontal="center" vertical="center"/>
    </xf>
    <xf numFmtId="1" fontId="33" fillId="13" borderId="51" xfId="0" applyFont="1" applyFill="1" applyBorder="1" applyAlignment="1" applyProtection="1">
      <alignment horizontal="center" vertical="center"/>
    </xf>
    <xf numFmtId="1" fontId="33" fillId="13" borderId="73" xfId="0" applyFont="1" applyFill="1" applyBorder="1" applyAlignment="1" applyProtection="1">
      <alignment horizontal="center" vertical="center"/>
    </xf>
    <xf numFmtId="0" fontId="22" fillId="7" borderId="39" xfId="0" applyNumberFormat="1" applyFont="1" applyFill="1" applyBorder="1" applyAlignment="1" applyProtection="1">
      <alignment horizontal="center" vertical="center"/>
    </xf>
    <xf numFmtId="0" fontId="22" fillId="7" borderId="82" xfId="0" applyNumberFormat="1" applyFont="1" applyFill="1" applyBorder="1" applyAlignment="1" applyProtection="1">
      <alignment horizontal="center" vertical="center"/>
    </xf>
    <xf numFmtId="0" fontId="22" fillId="7" borderId="93" xfId="0" applyNumberFormat="1" applyFont="1" applyFill="1" applyBorder="1" applyAlignment="1" applyProtection="1">
      <alignment horizontal="center" vertical="center"/>
    </xf>
    <xf numFmtId="0" fontId="33" fillId="3" borderId="50" xfId="0" applyNumberFormat="1" applyFont="1" applyFill="1" applyBorder="1" applyAlignment="1" applyProtection="1">
      <alignment horizontal="center" vertical="center"/>
    </xf>
    <xf numFmtId="0" fontId="41" fillId="0" borderId="94" xfId="0" applyNumberFormat="1" applyFont="1" applyBorder="1" applyAlignment="1" applyProtection="1">
      <alignment horizontal="center" vertical="center"/>
    </xf>
    <xf numFmtId="0" fontId="33" fillId="7" borderId="50" xfId="0" applyNumberFormat="1" applyFont="1" applyFill="1" applyBorder="1" applyAlignment="1" applyProtection="1">
      <alignment horizontal="center" vertical="center"/>
    </xf>
    <xf numFmtId="0" fontId="41" fillId="13" borderId="94" xfId="0" applyNumberFormat="1" applyFont="1" applyFill="1" applyBorder="1" applyAlignment="1" applyProtection="1">
      <alignment horizontal="center" vertical="center"/>
    </xf>
    <xf numFmtId="0" fontId="33" fillId="7" borderId="69" xfId="0" applyNumberFormat="1" applyFont="1" applyFill="1" applyBorder="1" applyAlignment="1" applyProtection="1">
      <alignment horizontal="center" vertical="center"/>
    </xf>
    <xf numFmtId="0" fontId="41" fillId="13" borderId="95" xfId="0" applyNumberFormat="1" applyFont="1" applyFill="1" applyBorder="1" applyAlignment="1" applyProtection="1">
      <alignment horizontal="center" vertical="center"/>
    </xf>
    <xf numFmtId="0" fontId="41" fillId="13" borderId="96" xfId="0" applyNumberFormat="1" applyFont="1" applyFill="1" applyBorder="1" applyAlignment="1" applyProtection="1">
      <alignment horizontal="center" vertical="center"/>
    </xf>
    <xf numFmtId="1" fontId="46" fillId="7" borderId="125" xfId="0" applyFont="1" applyFill="1" applyBorder="1" applyAlignment="1" applyProtection="1">
      <alignment horizontal="center" vertical="center"/>
    </xf>
    <xf numFmtId="1" fontId="47" fillId="7" borderId="40" xfId="0" applyFont="1" applyFill="1" applyBorder="1" applyAlignment="1" applyProtection="1">
      <alignment horizontal="center" vertical="center"/>
    </xf>
    <xf numFmtId="1" fontId="47" fillId="7" borderId="121" xfId="0" applyFont="1" applyFill="1" applyBorder="1" applyAlignment="1" applyProtection="1">
      <alignment horizontal="center" vertical="center"/>
    </xf>
    <xf numFmtId="1" fontId="47" fillId="7" borderId="82" xfId="0" applyFont="1" applyFill="1" applyBorder="1" applyAlignment="1" applyProtection="1">
      <alignment horizontal="center" vertical="center"/>
    </xf>
    <xf numFmtId="1" fontId="47" fillId="7" borderId="120" xfId="0" applyFont="1" applyFill="1" applyBorder="1" applyAlignment="1" applyProtection="1">
      <alignment horizontal="center" vertical="center"/>
    </xf>
    <xf numFmtId="1" fontId="35" fillId="7" borderId="120" xfId="0" applyFont="1" applyFill="1" applyBorder="1" applyAlignment="1" applyProtection="1">
      <alignment horizontal="center" vertical="center"/>
    </xf>
    <xf numFmtId="1" fontId="35" fillId="7" borderId="40" xfId="0" applyFont="1" applyFill="1" applyBorder="1" applyAlignment="1" applyProtection="1">
      <alignment horizontal="center" vertical="center"/>
    </xf>
    <xf numFmtId="1" fontId="35" fillId="7" borderId="89" xfId="0" applyFont="1" applyFill="1" applyBorder="1" applyAlignment="1" applyProtection="1">
      <alignment horizontal="center" vertical="center"/>
    </xf>
    <xf numFmtId="165" fontId="50" fillId="0" borderId="0" xfId="0" applyNumberFormat="1" applyFont="1" applyFill="1" applyBorder="1" applyAlignment="1" applyProtection="1">
      <alignment horizontal="center" vertical="center"/>
    </xf>
    <xf numFmtId="1" fontId="50" fillId="0" borderId="0" xfId="0" applyFont="1" applyBorder="1" applyProtection="1">
      <alignment horizontal="center" vertical="center"/>
    </xf>
    <xf numFmtId="1" fontId="50" fillId="0" borderId="51" xfId="0" applyFont="1" applyBorder="1" applyAlignment="1" applyProtection="1">
      <alignment horizontal="center" vertical="center"/>
    </xf>
    <xf numFmtId="1" fontId="50" fillId="0" borderId="124" xfId="0" applyFont="1" applyBorder="1" applyAlignment="1" applyProtection="1">
      <alignment horizontal="center" vertical="center"/>
    </xf>
    <xf numFmtId="1" fontId="50" fillId="13" borderId="123" xfId="0" applyFont="1" applyFill="1" applyBorder="1" applyAlignment="1" applyProtection="1">
      <alignment horizontal="center" vertical="center"/>
    </xf>
    <xf numFmtId="165" fontId="50" fillId="13" borderId="0" xfId="0" applyNumberFormat="1" applyFont="1" applyFill="1" applyBorder="1" applyAlignment="1" applyProtection="1">
      <alignment horizontal="center" vertical="center"/>
    </xf>
    <xf numFmtId="1" fontId="50" fillId="13" borderId="0" xfId="0" applyFont="1" applyFill="1" applyBorder="1" applyProtection="1">
      <alignment horizontal="center" vertical="center"/>
    </xf>
    <xf numFmtId="1" fontId="50" fillId="13" borderId="51" xfId="0" applyFont="1" applyFill="1" applyBorder="1" applyAlignment="1" applyProtection="1">
      <alignment horizontal="center" vertical="center"/>
    </xf>
    <xf numFmtId="1" fontId="50" fillId="13" borderId="124" xfId="0" applyFont="1" applyFill="1" applyBorder="1" applyAlignment="1" applyProtection="1">
      <alignment horizontal="center" vertical="center"/>
    </xf>
    <xf numFmtId="1" fontId="50" fillId="0" borderId="123" xfId="0" applyFont="1" applyBorder="1" applyAlignment="1" applyProtection="1">
      <alignment horizontal="center" vertical="center"/>
    </xf>
    <xf numFmtId="1" fontId="50" fillId="13" borderId="103" xfId="0" applyFont="1" applyFill="1" applyBorder="1" applyAlignment="1" applyProtection="1">
      <alignment horizontal="center" vertical="center"/>
    </xf>
    <xf numFmtId="1" fontId="50" fillId="0" borderId="103" xfId="0" applyFont="1" applyBorder="1" applyAlignment="1" applyProtection="1">
      <alignment horizontal="center" vertical="center"/>
    </xf>
    <xf numFmtId="1" fontId="50" fillId="13" borderId="91" xfId="0" applyFont="1" applyFill="1" applyBorder="1" applyAlignment="1" applyProtection="1">
      <alignment horizontal="center" vertical="center"/>
    </xf>
    <xf numFmtId="1" fontId="50" fillId="13" borderId="122" xfId="0" applyFont="1" applyFill="1" applyBorder="1" applyAlignment="1" applyProtection="1">
      <alignment horizontal="center" vertical="center"/>
    </xf>
    <xf numFmtId="1" fontId="50" fillId="13" borderId="95" xfId="0" applyFont="1" applyFill="1" applyBorder="1" applyAlignment="1" applyProtection="1">
      <alignment horizontal="center" vertical="center"/>
    </xf>
    <xf numFmtId="1" fontId="50" fillId="13" borderId="72" xfId="0" applyFont="1" applyFill="1" applyBorder="1" applyAlignment="1" applyProtection="1">
      <alignment horizontal="center" vertical="center"/>
    </xf>
    <xf numFmtId="165" fontId="50" fillId="13" borderId="72" xfId="0" applyNumberFormat="1" applyFont="1" applyFill="1" applyBorder="1" applyAlignment="1" applyProtection="1">
      <alignment horizontal="center" vertical="center"/>
    </xf>
    <xf numFmtId="1" fontId="50" fillId="13" borderId="72" xfId="0" applyFont="1" applyFill="1" applyBorder="1" applyAlignment="1" applyProtection="1">
      <alignment horizontal="center"/>
    </xf>
    <xf numFmtId="1" fontId="50" fillId="13" borderId="72" xfId="0" applyFont="1" applyFill="1" applyBorder="1" applyProtection="1">
      <alignment horizontal="center" vertical="center"/>
    </xf>
    <xf numFmtId="1" fontId="50" fillId="13" borderId="73" xfId="0" applyFont="1" applyFill="1" applyBorder="1" applyAlignment="1" applyProtection="1">
      <alignment horizontal="center" vertical="center"/>
    </xf>
    <xf numFmtId="1" fontId="33" fillId="13" borderId="108" xfId="0" applyFont="1" applyFill="1" applyBorder="1" applyAlignment="1" applyProtection="1">
      <alignment horizontal="center" vertical="center"/>
    </xf>
    <xf numFmtId="1" fontId="33" fillId="13" borderId="94" xfId="0" applyFont="1" applyFill="1" applyBorder="1" applyProtection="1">
      <alignment horizontal="center" vertical="center"/>
    </xf>
    <xf numFmtId="1" fontId="46" fillId="7" borderId="121" xfId="0" applyFont="1" applyFill="1" applyBorder="1" applyAlignment="1" applyProtection="1">
      <alignment horizontal="center" vertical="center"/>
    </xf>
    <xf numFmtId="1" fontId="49" fillId="3" borderId="6" xfId="0" applyFont="1" applyFill="1" applyBorder="1" applyAlignment="1" applyProtection="1">
      <alignment horizontal="center" vertical="center"/>
    </xf>
    <xf numFmtId="1" fontId="49" fillId="3" borderId="12" xfId="0" applyFont="1" applyFill="1" applyBorder="1" applyAlignment="1" applyProtection="1">
      <alignment horizontal="center" vertical="center"/>
    </xf>
    <xf numFmtId="1" fontId="49" fillId="7" borderId="9" xfId="0" applyFont="1" applyFill="1" applyBorder="1" applyAlignment="1" applyProtection="1">
      <alignment horizontal="center" vertical="center"/>
    </xf>
    <xf numFmtId="1" fontId="49" fillId="7" borderId="6" xfId="0" applyFont="1" applyFill="1" applyBorder="1" applyAlignment="1" applyProtection="1">
      <alignment horizontal="center" vertical="center"/>
    </xf>
    <xf numFmtId="1" fontId="49" fillId="7" borderId="12" xfId="0" applyFont="1" applyFill="1" applyBorder="1" applyAlignment="1" applyProtection="1">
      <alignment horizontal="center" vertical="center"/>
    </xf>
    <xf numFmtId="1" fontId="49" fillId="3" borderId="9" xfId="0" applyFont="1" applyFill="1" applyBorder="1" applyAlignment="1" applyProtection="1">
      <alignment horizontal="center" vertical="center"/>
    </xf>
    <xf numFmtId="1" fontId="49" fillId="7" borderId="4" xfId="0" applyFont="1" applyFill="1" applyBorder="1" applyAlignment="1" applyProtection="1">
      <alignment horizontal="center" vertical="center"/>
    </xf>
    <xf numFmtId="1" fontId="49" fillId="3" borderId="4" xfId="0" applyFont="1" applyFill="1" applyBorder="1" applyAlignment="1" applyProtection="1">
      <alignment horizontal="center" vertical="center"/>
    </xf>
    <xf numFmtId="1" fontId="49" fillId="7" borderId="122" xfId="0" applyFont="1" applyFill="1" applyBorder="1" applyAlignment="1" applyProtection="1">
      <alignment horizontal="center" vertical="center"/>
    </xf>
    <xf numFmtId="1" fontId="48" fillId="13" borderId="112" xfId="0" applyFont="1" applyFill="1" applyBorder="1" applyAlignment="1" applyProtection="1">
      <alignment horizontal="left" vertical="center"/>
    </xf>
    <xf numFmtId="1" fontId="49" fillId="13" borderId="126" xfId="0" applyFont="1" applyFill="1" applyBorder="1" applyAlignment="1" applyProtection="1">
      <alignment horizontal="left" vertical="center"/>
    </xf>
    <xf numFmtId="1" fontId="48" fillId="13" borderId="126" xfId="0" applyFont="1" applyFill="1" applyBorder="1" applyAlignment="1" applyProtection="1">
      <alignment horizontal="left" vertical="center"/>
    </xf>
    <xf numFmtId="1" fontId="51" fillId="13" borderId="126" xfId="0" applyFont="1" applyFill="1" applyBorder="1" applyAlignment="1" applyProtection="1">
      <alignment horizontal="left" vertical="center"/>
    </xf>
    <xf numFmtId="1" fontId="48" fillId="13" borderId="114" xfId="0" applyFont="1" applyFill="1" applyBorder="1" applyAlignment="1" applyProtection="1">
      <alignment horizontal="left" vertical="center"/>
    </xf>
    <xf numFmtId="1" fontId="54" fillId="3" borderId="9" xfId="0" applyFont="1" applyFill="1" applyBorder="1" applyAlignment="1" applyProtection="1">
      <alignment horizontal="center" vertical="center"/>
    </xf>
    <xf numFmtId="1" fontId="54" fillId="3" borderId="6" xfId="0" applyFont="1" applyFill="1" applyBorder="1" applyAlignment="1" applyProtection="1">
      <alignment horizontal="center" vertical="center"/>
    </xf>
    <xf numFmtId="1" fontId="54" fillId="3" borderId="12" xfId="0" applyFont="1" applyFill="1" applyBorder="1" applyAlignment="1" applyProtection="1">
      <alignment horizontal="center" vertical="center"/>
    </xf>
    <xf numFmtId="1" fontId="54" fillId="7" borderId="9" xfId="0" applyFont="1" applyFill="1" applyBorder="1" applyAlignment="1" applyProtection="1">
      <alignment horizontal="center" vertical="center"/>
    </xf>
    <xf numFmtId="1" fontId="54" fillId="7" borderId="6" xfId="0" applyFont="1" applyFill="1" applyBorder="1" applyAlignment="1" applyProtection="1">
      <alignment horizontal="center" vertical="center"/>
    </xf>
    <xf numFmtId="1" fontId="54" fillId="7" borderId="12" xfId="0" applyFont="1" applyFill="1" applyBorder="1" applyAlignment="1" applyProtection="1">
      <alignment horizontal="center" vertical="center"/>
    </xf>
    <xf numFmtId="1" fontId="54" fillId="3" borderId="4" xfId="0" applyFont="1" applyFill="1" applyBorder="1" applyAlignment="1" applyProtection="1">
      <alignment horizontal="center" vertical="center"/>
    </xf>
    <xf numFmtId="1" fontId="54" fillId="7" borderId="4" xfId="0" applyFont="1" applyFill="1" applyBorder="1" applyAlignment="1" applyProtection="1">
      <alignment horizontal="center" vertical="center"/>
    </xf>
    <xf numFmtId="1" fontId="32" fillId="15" borderId="50" xfId="0" applyFont="1" applyFill="1" applyBorder="1" applyAlignment="1" applyProtection="1">
      <alignment horizontal="center" vertical="center"/>
    </xf>
    <xf numFmtId="1" fontId="32" fillId="15" borderId="97" xfId="0" applyFont="1" applyFill="1" applyBorder="1" applyAlignment="1" applyProtection="1">
      <alignment horizontal="center" vertical="center"/>
    </xf>
    <xf numFmtId="1" fontId="32" fillId="16" borderId="50" xfId="0" applyFont="1" applyFill="1" applyBorder="1" applyAlignment="1" applyProtection="1">
      <alignment horizontal="center" vertical="center"/>
    </xf>
    <xf numFmtId="1" fontId="32" fillId="16" borderId="69" xfId="0" applyFont="1" applyFill="1" applyBorder="1" applyAlignment="1" applyProtection="1">
      <alignment horizontal="center" vertical="center"/>
    </xf>
    <xf numFmtId="1" fontId="41" fillId="17" borderId="1" xfId="0" applyFont="1" applyFill="1" applyBorder="1" applyAlignment="1" applyProtection="1">
      <alignment horizontal="center" vertical="center"/>
    </xf>
    <xf numFmtId="1" fontId="41" fillId="17" borderId="7" xfId="0" applyFont="1" applyFill="1" applyBorder="1" applyAlignment="1" applyProtection="1">
      <alignment horizontal="center" vertical="center"/>
    </xf>
    <xf numFmtId="1" fontId="41" fillId="17" borderId="6" xfId="0" applyFont="1" applyFill="1" applyBorder="1" applyAlignment="1" applyProtection="1">
      <alignment horizontal="center" vertical="center"/>
    </xf>
    <xf numFmtId="1" fontId="38" fillId="17" borderId="7" xfId="0" applyFont="1" applyFill="1" applyBorder="1" applyAlignment="1" applyProtection="1">
      <alignment horizontal="left" vertical="center"/>
    </xf>
    <xf numFmtId="1" fontId="44" fillId="17" borderId="0" xfId="0" applyFont="1" applyFill="1" applyBorder="1" applyAlignment="1" applyProtection="1">
      <alignment horizontal="center" vertical="center"/>
    </xf>
    <xf numFmtId="1" fontId="38" fillId="17" borderId="0" xfId="0" applyFont="1" applyFill="1" applyBorder="1" applyAlignment="1" applyProtection="1">
      <alignment horizontal="left" vertical="center"/>
    </xf>
    <xf numFmtId="1" fontId="44" fillId="17" borderId="6" xfId="0" applyFont="1" applyFill="1" applyBorder="1" applyAlignment="1" applyProtection="1">
      <alignment horizontal="center" vertical="center"/>
    </xf>
    <xf numFmtId="1" fontId="44" fillId="17" borderId="51" xfId="0" applyFont="1" applyFill="1" applyBorder="1" applyAlignment="1" applyProtection="1">
      <alignment horizontal="center" vertical="center"/>
    </xf>
    <xf numFmtId="1" fontId="41" fillId="17" borderId="95" xfId="0" applyFont="1" applyFill="1" applyBorder="1" applyAlignment="1" applyProtection="1">
      <alignment horizontal="center" vertical="center"/>
    </xf>
    <xf numFmtId="1" fontId="41" fillId="17" borderId="91" xfId="0" applyFont="1" applyFill="1" applyBorder="1" applyAlignment="1" applyProtection="1">
      <alignment horizontal="center" vertical="center"/>
    </xf>
    <xf numFmtId="1" fontId="41" fillId="17" borderId="122" xfId="0" applyFont="1" applyFill="1" applyBorder="1" applyAlignment="1" applyProtection="1">
      <alignment horizontal="center" vertical="center"/>
    </xf>
    <xf numFmtId="1" fontId="38" fillId="17" borderId="91" xfId="0" applyFont="1" applyFill="1" applyBorder="1" applyAlignment="1" applyProtection="1">
      <alignment horizontal="left" vertical="center"/>
    </xf>
    <xf numFmtId="1" fontId="44" fillId="17" borderId="72" xfId="0" applyFont="1" applyFill="1" applyBorder="1" applyAlignment="1" applyProtection="1">
      <alignment horizontal="center" vertical="center"/>
    </xf>
    <xf numFmtId="1" fontId="38" fillId="17" borderId="72" xfId="0" applyFont="1" applyFill="1" applyBorder="1" applyAlignment="1" applyProtection="1">
      <alignment horizontal="left" vertical="center"/>
    </xf>
    <xf numFmtId="1" fontId="44" fillId="17" borderId="122" xfId="0" applyFont="1" applyFill="1" applyBorder="1" applyAlignment="1" applyProtection="1">
      <alignment horizontal="center" vertical="center"/>
    </xf>
    <xf numFmtId="1" fontId="44" fillId="17" borderId="73" xfId="0" applyFont="1" applyFill="1" applyBorder="1" applyAlignment="1" applyProtection="1">
      <alignment horizontal="center" vertical="center"/>
    </xf>
    <xf numFmtId="1" fontId="32" fillId="15" borderId="48" xfId="0" applyFont="1" applyFill="1" applyBorder="1" applyAlignment="1" applyProtection="1">
      <alignment horizontal="center" vertical="center"/>
    </xf>
    <xf numFmtId="1" fontId="41" fillId="0" borderId="127" xfId="0" applyFont="1" applyFill="1" applyBorder="1" applyAlignment="1" applyProtection="1">
      <alignment horizontal="center" vertical="center"/>
    </xf>
    <xf numFmtId="1" fontId="41" fillId="0" borderId="34" xfId="0" applyFont="1" applyFill="1" applyBorder="1" applyAlignment="1" applyProtection="1">
      <alignment horizontal="center" vertical="center"/>
    </xf>
    <xf numFmtId="1" fontId="41" fillId="0" borderId="128" xfId="0" applyFont="1" applyFill="1" applyBorder="1" applyAlignment="1" applyProtection="1">
      <alignment horizontal="center" vertical="center"/>
    </xf>
    <xf numFmtId="1" fontId="38" fillId="0" borderId="34" xfId="0" applyFont="1" applyFill="1" applyBorder="1" applyAlignment="1" applyProtection="1">
      <alignment horizontal="left" vertical="center"/>
    </xf>
    <xf numFmtId="1" fontId="44" fillId="0" borderId="25" xfId="0" applyFont="1" applyFill="1" applyBorder="1" applyAlignment="1" applyProtection="1">
      <alignment horizontal="center" vertical="center"/>
    </xf>
    <xf numFmtId="1" fontId="38" fillId="0" borderId="25" xfId="0" applyFont="1" applyFill="1" applyBorder="1" applyAlignment="1" applyProtection="1">
      <alignment horizontal="left" vertical="center"/>
    </xf>
    <xf numFmtId="1" fontId="44" fillId="0" borderId="128" xfId="0" applyFont="1" applyFill="1" applyBorder="1" applyAlignment="1" applyProtection="1">
      <alignment horizontal="center" vertical="center"/>
    </xf>
    <xf numFmtId="1" fontId="44" fillId="0" borderId="49" xfId="0" applyFont="1" applyFill="1" applyBorder="1" applyAlignment="1" applyProtection="1">
      <alignment horizontal="center" vertical="center"/>
    </xf>
    <xf numFmtId="1" fontId="32" fillId="16" borderId="129" xfId="0" applyFont="1" applyFill="1" applyBorder="1" applyAlignment="1" applyProtection="1">
      <alignment horizontal="center" vertical="center"/>
    </xf>
    <xf numFmtId="1" fontId="41" fillId="17" borderId="130" xfId="0" applyFont="1" applyFill="1" applyBorder="1" applyAlignment="1" applyProtection="1">
      <alignment horizontal="center" vertical="center"/>
    </xf>
    <xf numFmtId="1" fontId="41" fillId="17" borderId="38" xfId="0" applyFont="1" applyFill="1" applyBorder="1" applyAlignment="1" applyProtection="1">
      <alignment horizontal="center" vertical="center"/>
    </xf>
    <xf numFmtId="1" fontId="41" fillId="17" borderId="131" xfId="0" applyFont="1" applyFill="1" applyBorder="1" applyAlignment="1" applyProtection="1">
      <alignment horizontal="center" vertical="center"/>
    </xf>
    <xf numFmtId="1" fontId="38" fillId="17" borderId="38" xfId="0" applyFont="1" applyFill="1" applyBorder="1" applyAlignment="1" applyProtection="1">
      <alignment horizontal="left" vertical="center"/>
    </xf>
    <xf numFmtId="1" fontId="44" fillId="17" borderId="132" xfId="0" applyFont="1" applyFill="1" applyBorder="1" applyAlignment="1" applyProtection="1">
      <alignment horizontal="center" vertical="center"/>
    </xf>
    <xf numFmtId="1" fontId="38" fillId="17" borderId="132" xfId="0" applyFont="1" applyFill="1" applyBorder="1" applyAlignment="1" applyProtection="1">
      <alignment horizontal="left" vertical="center"/>
    </xf>
    <xf numFmtId="1" fontId="44" fillId="17" borderId="131" xfId="0" applyFont="1" applyFill="1" applyBorder="1" applyAlignment="1" applyProtection="1">
      <alignment horizontal="center" vertical="center"/>
    </xf>
    <xf numFmtId="1" fontId="44" fillId="17" borderId="133" xfId="0" applyFont="1" applyFill="1" applyBorder="1" applyAlignment="1" applyProtection="1">
      <alignment horizontal="center" vertical="center"/>
    </xf>
    <xf numFmtId="1" fontId="50" fillId="13" borderId="24" xfId="0" applyFont="1" applyFill="1" applyBorder="1" applyAlignment="1" applyProtection="1">
      <alignment horizontal="center" vertical="center"/>
    </xf>
    <xf numFmtId="1" fontId="50" fillId="13" borderId="25" xfId="0" applyFont="1" applyFill="1" applyBorder="1" applyAlignment="1" applyProtection="1">
      <alignment horizontal="center" vertical="center"/>
    </xf>
    <xf numFmtId="165" fontId="50" fillId="13" borderId="25" xfId="0" applyNumberFormat="1" applyFont="1" applyFill="1" applyBorder="1" applyAlignment="1" applyProtection="1">
      <alignment horizontal="center" vertical="center"/>
    </xf>
    <xf numFmtId="1" fontId="50" fillId="13" borderId="26" xfId="0" applyFont="1" applyFill="1" applyBorder="1" applyAlignment="1" applyProtection="1">
      <alignment horizontal="center" vertical="center"/>
    </xf>
    <xf numFmtId="1" fontId="50" fillId="13" borderId="29" xfId="0" applyFont="1" applyFill="1" applyBorder="1" applyAlignment="1" applyProtection="1">
      <alignment horizontal="center" vertical="center"/>
    </xf>
    <xf numFmtId="1" fontId="50" fillId="13" borderId="132" xfId="0" applyFont="1" applyFill="1" applyBorder="1" applyAlignment="1" applyProtection="1">
      <alignment horizontal="center" vertical="center"/>
    </xf>
    <xf numFmtId="165" fontId="50" fillId="13" borderId="132" xfId="0" applyNumberFormat="1" applyFont="1" applyFill="1" applyBorder="1" applyAlignment="1" applyProtection="1">
      <alignment horizontal="center" vertical="center"/>
    </xf>
    <xf numFmtId="1" fontId="50" fillId="13" borderId="134" xfId="0" applyFont="1" applyFill="1" applyBorder="1" applyAlignment="1" applyProtection="1">
      <alignment horizontal="center" vertical="center"/>
    </xf>
    <xf numFmtId="1" fontId="50" fillId="0" borderId="24" xfId="0" applyFont="1" applyBorder="1" applyAlignment="1" applyProtection="1">
      <alignment horizontal="center" vertical="center"/>
    </xf>
    <xf numFmtId="1" fontId="50" fillId="0" borderId="25" xfId="0" applyFont="1" applyBorder="1" applyAlignment="1" applyProtection="1">
      <alignment horizontal="center" vertical="center"/>
    </xf>
    <xf numFmtId="165" fontId="50" fillId="0" borderId="25" xfId="0" applyNumberFormat="1" applyFont="1" applyFill="1" applyBorder="1" applyAlignment="1" applyProtection="1">
      <alignment horizontal="center" vertical="center"/>
    </xf>
    <xf numFmtId="1" fontId="50" fillId="0" borderId="25" xfId="0" applyFont="1" applyFill="1" applyBorder="1" applyAlignment="1" applyProtection="1">
      <alignment horizontal="center" vertical="center"/>
    </xf>
    <xf numFmtId="1" fontId="50" fillId="0" borderId="26" xfId="0" applyFont="1" applyFill="1" applyBorder="1" applyAlignment="1" applyProtection="1">
      <alignment horizontal="center" vertical="center"/>
    </xf>
    <xf numFmtId="1" fontId="50" fillId="0" borderId="27" xfId="0" applyFont="1" applyBorder="1" applyAlignment="1" applyProtection="1">
      <alignment horizontal="center" vertical="center"/>
    </xf>
    <xf numFmtId="1" fontId="50" fillId="0" borderId="28" xfId="0" applyFont="1" applyFill="1" applyBorder="1" applyAlignment="1" applyProtection="1">
      <alignment horizontal="center" vertical="center"/>
    </xf>
    <xf numFmtId="1" fontId="50" fillId="0" borderId="29" xfId="0" applyFont="1" applyBorder="1" applyAlignment="1" applyProtection="1">
      <alignment horizontal="center" vertical="center"/>
    </xf>
    <xf numFmtId="1" fontId="50" fillId="0" borderId="132" xfId="0" applyFont="1" applyBorder="1" applyAlignment="1" applyProtection="1">
      <alignment horizontal="center" vertical="center"/>
    </xf>
    <xf numFmtId="165" fontId="50" fillId="0" borderId="132" xfId="0" applyNumberFormat="1" applyFont="1" applyFill="1" applyBorder="1" applyAlignment="1" applyProtection="1">
      <alignment horizontal="center" vertical="center"/>
    </xf>
    <xf numFmtId="1" fontId="50" fillId="0" borderId="132" xfId="0" applyFont="1" applyFill="1" applyBorder="1" applyAlignment="1" applyProtection="1">
      <alignment horizontal="center" vertical="center"/>
    </xf>
    <xf numFmtId="1" fontId="50" fillId="0" borderId="134" xfId="0" applyFont="1" applyFill="1" applyBorder="1" applyAlignment="1" applyProtection="1">
      <alignment horizontal="center" vertical="center"/>
    </xf>
    <xf numFmtId="1" fontId="50" fillId="13" borderId="27" xfId="0" applyFont="1" applyFill="1" applyBorder="1" applyAlignment="1" applyProtection="1">
      <alignment horizontal="center" vertical="center"/>
    </xf>
    <xf numFmtId="1" fontId="50" fillId="13" borderId="28" xfId="0" applyFont="1" applyFill="1" applyBorder="1" applyAlignment="1" applyProtection="1">
      <alignment horizontal="center" vertical="center"/>
    </xf>
    <xf numFmtId="167" fontId="0" fillId="0" borderId="27" xfId="0" applyNumberFormat="1" applyBorder="1" applyProtection="1">
      <alignment horizontal="center" vertical="center"/>
    </xf>
    <xf numFmtId="167" fontId="0" fillId="0" borderId="51" xfId="0" applyNumberFormat="1" applyBorder="1" applyProtection="1">
      <alignment horizontal="center" vertical="center"/>
    </xf>
    <xf numFmtId="1" fontId="27" fillId="10" borderId="39" xfId="0" applyFont="1" applyFill="1" applyBorder="1" applyAlignment="1" applyProtection="1">
      <alignment horizontal="center" vertical="center"/>
    </xf>
    <xf numFmtId="1" fontId="27" fillId="10" borderId="82" xfId="0" applyFont="1" applyFill="1" applyBorder="1" applyAlignment="1" applyProtection="1">
      <alignment horizontal="center" vertical="center"/>
    </xf>
    <xf numFmtId="1" fontId="27" fillId="10" borderId="40" xfId="0" applyFont="1" applyFill="1" applyBorder="1" applyAlignment="1" applyProtection="1">
      <alignment horizontal="center" vertical="center"/>
    </xf>
    <xf numFmtId="1" fontId="27" fillId="10" borderId="83" xfId="0" applyFont="1" applyFill="1" applyBorder="1" applyAlignment="1" applyProtection="1">
      <alignment horizontal="center" vertical="center"/>
    </xf>
    <xf numFmtId="1" fontId="27" fillId="10" borderId="84" xfId="0" applyFont="1" applyFill="1" applyBorder="1" applyAlignment="1" applyProtection="1">
      <alignment horizontal="center" vertical="center"/>
    </xf>
    <xf numFmtId="1" fontId="27" fillId="10" borderId="85" xfId="0" applyFont="1" applyFill="1" applyBorder="1" applyAlignment="1" applyProtection="1">
      <alignment horizontal="center" vertical="center"/>
    </xf>
    <xf numFmtId="1" fontId="22" fillId="7" borderId="87" xfId="0" applyFont="1" applyFill="1" applyBorder="1" applyAlignment="1" applyProtection="1">
      <alignment horizontal="center" vertical="center"/>
    </xf>
    <xf numFmtId="1" fontId="22" fillId="7" borderId="40" xfId="0" applyFont="1" applyFill="1" applyBorder="1" applyAlignment="1" applyProtection="1">
      <alignment horizontal="center" vertical="center"/>
    </xf>
    <xf numFmtId="1" fontId="9" fillId="4" borderId="71" xfId="0" applyFont="1" applyFill="1" applyBorder="1" applyAlignment="1" applyProtection="1">
      <alignment horizontal="center" vertical="center"/>
    </xf>
    <xf numFmtId="1" fontId="9" fillId="4" borderId="91" xfId="0" applyFont="1" applyFill="1" applyBorder="1" applyAlignment="1" applyProtection="1">
      <alignment horizontal="center" vertical="center"/>
    </xf>
    <xf numFmtId="1" fontId="25" fillId="11" borderId="22" xfId="0" applyFont="1" applyFill="1" applyBorder="1" applyAlignment="1" applyProtection="1">
      <alignment horizontal="center" vertical="center"/>
      <protection locked="0"/>
    </xf>
    <xf numFmtId="1" fontId="25" fillId="11" borderId="38" xfId="0" applyFont="1" applyFill="1" applyBorder="1" applyAlignment="1" applyProtection="1">
      <alignment horizontal="center" vertical="center"/>
      <protection locked="0"/>
    </xf>
    <xf numFmtId="1" fontId="0" fillId="0" borderId="27" xfId="0" applyBorder="1" applyProtection="1">
      <alignment horizontal="center" vertical="center"/>
    </xf>
    <xf numFmtId="1" fontId="0" fillId="0" borderId="0" xfId="0" applyBorder="1" applyProtection="1">
      <alignment horizontal="center" vertical="center"/>
    </xf>
    <xf numFmtId="1" fontId="22" fillId="10" borderId="52" xfId="0" applyFont="1" applyFill="1" applyBorder="1" applyAlignment="1" applyProtection="1">
      <alignment horizontal="center" vertical="center"/>
    </xf>
    <xf numFmtId="1" fontId="22" fillId="10" borderId="79" xfId="0" applyFont="1" applyFill="1" applyBorder="1" applyAlignment="1" applyProtection="1">
      <alignment horizontal="center" vertical="center"/>
    </xf>
    <xf numFmtId="1" fontId="22" fillId="10" borderId="80" xfId="0" applyFont="1" applyFill="1" applyBorder="1" applyAlignment="1" applyProtection="1">
      <alignment horizontal="center" vertical="center"/>
    </xf>
    <xf numFmtId="1" fontId="12" fillId="5" borderId="61" xfId="0" applyFont="1" applyFill="1" applyBorder="1" applyAlignment="1" applyProtection="1">
      <alignment horizontal="center" vertical="center"/>
    </xf>
    <xf numFmtId="1" fontId="12" fillId="5" borderId="53" xfId="0" applyFont="1" applyFill="1" applyBorder="1" applyAlignment="1" applyProtection="1">
      <alignment horizontal="center" vertical="center"/>
    </xf>
    <xf numFmtId="1" fontId="25" fillId="11" borderId="20" xfId="0" applyFont="1" applyFill="1" applyBorder="1" applyAlignment="1" applyProtection="1">
      <alignment horizontal="center" vertical="center"/>
      <protection locked="0"/>
    </xf>
    <xf numFmtId="1" fontId="25" fillId="11" borderId="7" xfId="0" applyFont="1" applyFill="1" applyBorder="1" applyAlignment="1" applyProtection="1">
      <alignment horizontal="center" vertical="center"/>
      <protection locked="0"/>
    </xf>
    <xf numFmtId="1" fontId="25" fillId="11" borderId="27" xfId="0" applyFont="1" applyFill="1" applyBorder="1" applyAlignment="1" applyProtection="1">
      <alignment horizontal="center" vertical="center"/>
      <protection locked="0"/>
    </xf>
    <xf numFmtId="0" fontId="25" fillId="11" borderId="20" xfId="0" applyNumberFormat="1" applyFont="1" applyFill="1" applyBorder="1" applyAlignment="1" applyProtection="1">
      <alignment horizontal="center" vertical="center"/>
      <protection locked="0"/>
    </xf>
    <xf numFmtId="0" fontId="25" fillId="11" borderId="7" xfId="0" applyNumberFormat="1" applyFont="1" applyFill="1" applyBorder="1" applyAlignment="1" applyProtection="1">
      <alignment horizontal="center" vertical="center"/>
      <protection locked="0"/>
    </xf>
    <xf numFmtId="1" fontId="0" fillId="3" borderId="29" xfId="0" applyFill="1" applyBorder="1" applyProtection="1">
      <alignment horizontal="center" vertical="center"/>
    </xf>
    <xf numFmtId="1" fontId="0" fillId="3" borderId="23" xfId="0" applyFill="1" applyBorder="1" applyProtection="1">
      <alignment horizontal="center" vertical="center"/>
    </xf>
    <xf numFmtId="1" fontId="22" fillId="10" borderId="53" xfId="0" applyFont="1" applyFill="1" applyBorder="1" applyAlignment="1" applyProtection="1">
      <alignment horizontal="center" vertical="center"/>
    </xf>
    <xf numFmtId="1" fontId="19" fillId="3" borderId="69" xfId="0" applyFont="1" applyFill="1" applyBorder="1" applyAlignment="1" applyProtection="1">
      <alignment horizontal="center" vertical="center"/>
    </xf>
    <xf numFmtId="1" fontId="19" fillId="3" borderId="70" xfId="0" applyFont="1" applyFill="1" applyBorder="1" applyAlignment="1" applyProtection="1">
      <alignment horizontal="center" vertical="center"/>
    </xf>
    <xf numFmtId="1" fontId="24" fillId="0" borderId="71" xfId="0" applyFont="1" applyBorder="1" applyProtection="1">
      <alignment horizontal="center" vertical="center"/>
    </xf>
    <xf numFmtId="1" fontId="24" fillId="0" borderId="72" xfId="0" applyFont="1" applyBorder="1" applyProtection="1">
      <alignment horizontal="center" vertical="center"/>
    </xf>
    <xf numFmtId="1" fontId="24" fillId="0" borderId="73" xfId="0" applyFont="1" applyBorder="1" applyProtection="1">
      <alignment horizontal="center" vertical="center"/>
    </xf>
    <xf numFmtId="1" fontId="22" fillId="7" borderId="74" xfId="0" applyFont="1" applyFill="1" applyBorder="1" applyAlignment="1" applyProtection="1">
      <alignment horizontal="center" vertical="center"/>
    </xf>
    <xf numFmtId="1" fontId="22" fillId="7" borderId="75" xfId="0" applyFont="1" applyFill="1" applyBorder="1" applyAlignment="1" applyProtection="1">
      <alignment horizontal="center" vertical="center"/>
    </xf>
    <xf numFmtId="1" fontId="22" fillId="7" borderId="59" xfId="0" applyFont="1" applyFill="1" applyBorder="1" applyAlignment="1" applyProtection="1">
      <alignment horizontal="center" vertical="center"/>
    </xf>
    <xf numFmtId="1" fontId="22" fillId="7" borderId="44" xfId="0" applyFont="1" applyFill="1" applyBorder="1" applyAlignment="1" applyProtection="1">
      <alignment horizontal="center" vertical="center"/>
    </xf>
    <xf numFmtId="1" fontId="19" fillId="3" borderId="50" xfId="0" applyFont="1" applyFill="1" applyBorder="1" applyAlignment="1" applyProtection="1">
      <alignment horizontal="center" vertical="center"/>
    </xf>
    <xf numFmtId="1" fontId="19" fillId="3" borderId="21" xfId="0" applyFont="1" applyFill="1" applyBorder="1" applyAlignment="1" applyProtection="1">
      <alignment horizontal="center" vertical="center"/>
    </xf>
    <xf numFmtId="1" fontId="24" fillId="0" borderId="27" xfId="0" applyFont="1" applyBorder="1" applyProtection="1">
      <alignment horizontal="center" vertical="center"/>
    </xf>
    <xf numFmtId="1" fontId="24" fillId="0" borderId="0" xfId="0" applyFont="1" applyBorder="1" applyProtection="1">
      <alignment horizontal="center" vertical="center"/>
    </xf>
    <xf numFmtId="1" fontId="24" fillId="0" borderId="51" xfId="0" applyFont="1" applyBorder="1" applyProtection="1">
      <alignment horizontal="center" vertical="center"/>
    </xf>
    <xf numFmtId="1" fontId="0" fillId="0" borderId="51" xfId="0" applyBorder="1" applyProtection="1">
      <alignment horizontal="center" vertical="center"/>
    </xf>
    <xf numFmtId="1" fontId="0" fillId="0" borderId="0" xfId="0" applyFont="1" applyFill="1" applyBorder="1" applyAlignment="1" applyProtection="1">
      <alignment horizontal="center" vertical="center"/>
    </xf>
    <xf numFmtId="1" fontId="0" fillId="0" borderId="28" xfId="0" applyBorder="1" applyProtection="1">
      <alignment horizontal="center" vertical="center"/>
    </xf>
    <xf numFmtId="1" fontId="11" fillId="3" borderId="50" xfId="0" applyFont="1" applyFill="1" applyBorder="1" applyAlignment="1" applyProtection="1">
      <alignment horizontal="center" vertical="center"/>
    </xf>
    <xf numFmtId="1" fontId="11" fillId="3" borderId="7" xfId="0" applyFont="1" applyFill="1" applyBorder="1" applyAlignment="1" applyProtection="1">
      <alignment horizontal="center" vertical="center"/>
    </xf>
    <xf numFmtId="1" fontId="23" fillId="9" borderId="35" xfId="0" applyFont="1" applyFill="1" applyBorder="1" applyAlignment="1" applyProtection="1">
      <alignment horizontal="center" vertical="center"/>
      <protection locked="0"/>
    </xf>
    <xf numFmtId="1" fontId="0" fillId="0" borderId="28" xfId="0" applyFont="1" applyFill="1" applyBorder="1" applyAlignment="1" applyProtection="1">
      <alignment horizontal="center" vertical="center"/>
    </xf>
    <xf numFmtId="1" fontId="0" fillId="0" borderId="51" xfId="0" applyFont="1" applyFill="1" applyBorder="1" applyAlignment="1" applyProtection="1">
      <alignment horizontal="center" vertical="center"/>
    </xf>
    <xf numFmtId="1" fontId="0" fillId="0" borderId="24" xfId="0" applyFont="1" applyFill="1" applyBorder="1" applyAlignment="1" applyProtection="1">
      <alignment horizontal="center" vertical="center"/>
    </xf>
    <xf numFmtId="1" fontId="0" fillId="0" borderId="27" xfId="0" applyFont="1" applyFill="1" applyBorder="1" applyAlignment="1" applyProtection="1">
      <alignment horizontal="center" vertical="center"/>
    </xf>
    <xf numFmtId="1" fontId="0" fillId="0" borderId="49" xfId="0" applyBorder="1" applyProtection="1">
      <alignment horizontal="center" vertical="center"/>
    </xf>
    <xf numFmtId="1" fontId="19" fillId="3" borderId="63" xfId="0" applyFont="1" applyFill="1" applyBorder="1" applyAlignment="1" applyProtection="1">
      <alignment horizontal="center" vertical="center"/>
    </xf>
    <xf numFmtId="1" fontId="19" fillId="3" borderId="64" xfId="0" applyFont="1" applyFill="1" applyBorder="1" applyAlignment="1" applyProtection="1">
      <alignment horizontal="center" vertical="center"/>
    </xf>
    <xf numFmtId="1" fontId="19" fillId="3" borderId="68" xfId="0" applyFont="1" applyFill="1" applyBorder="1" applyAlignment="1" applyProtection="1">
      <alignment horizontal="center" vertical="center"/>
    </xf>
    <xf numFmtId="1" fontId="19" fillId="3" borderId="36" xfId="0" applyFont="1" applyFill="1" applyBorder="1" applyAlignment="1" applyProtection="1">
      <alignment horizontal="center" vertical="center"/>
    </xf>
    <xf numFmtId="1" fontId="24" fillId="0" borderId="65" xfId="0" applyFont="1" applyBorder="1" applyProtection="1">
      <alignment horizontal="center" vertical="center"/>
    </xf>
    <xf numFmtId="1" fontId="24" fillId="0" borderId="66" xfId="0" applyFont="1" applyBorder="1" applyProtection="1">
      <alignment horizontal="center" vertical="center"/>
    </xf>
    <xf numFmtId="1" fontId="24" fillId="0" borderId="67" xfId="0" applyFont="1" applyBorder="1" applyProtection="1">
      <alignment horizontal="center" vertical="center"/>
    </xf>
    <xf numFmtId="1" fontId="11" fillId="3" borderId="48" xfId="0" applyFont="1" applyFill="1" applyBorder="1" applyAlignment="1" applyProtection="1">
      <alignment horizontal="center" vertical="center"/>
    </xf>
    <xf numFmtId="1" fontId="11" fillId="3" borderId="34" xfId="0" applyFont="1" applyFill="1" applyBorder="1" applyAlignment="1" applyProtection="1">
      <alignment horizontal="center" vertical="center"/>
    </xf>
    <xf numFmtId="1" fontId="0" fillId="0" borderId="25" xfId="0" applyBorder="1" applyProtection="1">
      <alignment horizontal="center" vertical="center"/>
    </xf>
    <xf numFmtId="1" fontId="0" fillId="0" borderId="26" xfId="0" applyFont="1" applyFill="1" applyBorder="1" applyAlignment="1" applyProtection="1">
      <alignment horizontal="center" vertical="center"/>
    </xf>
    <xf numFmtId="1" fontId="20" fillId="7" borderId="16" xfId="0" applyFont="1" applyFill="1" applyBorder="1" applyAlignment="1" applyProtection="1">
      <alignment horizontal="center" vertical="center"/>
    </xf>
    <xf numFmtId="1" fontId="20" fillId="7" borderId="17" xfId="0" applyFont="1" applyFill="1" applyBorder="1" applyAlignment="1" applyProtection="1">
      <alignment horizontal="center" vertical="center"/>
    </xf>
    <xf numFmtId="1" fontId="20" fillId="7" borderId="18" xfId="0" applyFont="1" applyFill="1" applyBorder="1" applyAlignment="1" applyProtection="1">
      <alignment horizontal="center" vertical="center"/>
    </xf>
    <xf numFmtId="1" fontId="0" fillId="8" borderId="2" xfId="0" applyFill="1" applyBorder="1" applyProtection="1">
      <alignment horizontal="center" vertical="center"/>
    </xf>
    <xf numFmtId="1" fontId="21" fillId="9" borderId="39" xfId="0" applyFont="1" applyFill="1" applyBorder="1" applyAlignment="1" applyProtection="1">
      <alignment horizontal="center" vertical="center"/>
      <protection locked="0"/>
    </xf>
    <xf numFmtId="1" fontId="21" fillId="9" borderId="40" xfId="0" applyFont="1" applyFill="1" applyBorder="1" applyAlignment="1" applyProtection="1">
      <alignment horizontal="center" vertical="center"/>
      <protection locked="0"/>
    </xf>
    <xf numFmtId="1" fontId="21" fillId="9" borderId="46" xfId="0" applyFont="1" applyFill="1" applyBorder="1" applyAlignment="1" applyProtection="1">
      <alignment horizontal="center" vertical="center"/>
      <protection locked="0"/>
    </xf>
    <xf numFmtId="1" fontId="21" fillId="9" borderId="33" xfId="0" applyFont="1" applyFill="1" applyBorder="1" applyAlignment="1" applyProtection="1">
      <alignment horizontal="center" vertical="center"/>
      <protection locked="0"/>
    </xf>
    <xf numFmtId="1" fontId="12" fillId="10" borderId="61" xfId="0" applyFont="1" applyFill="1" applyBorder="1" applyAlignment="1" applyProtection="1">
      <alignment horizontal="center" vertical="center"/>
    </xf>
    <xf numFmtId="1" fontId="12" fillId="10" borderId="53" xfId="0" applyFont="1" applyFill="1" applyBorder="1" applyAlignment="1" applyProtection="1">
      <alignment horizontal="center" vertical="center"/>
    </xf>
    <xf numFmtId="1" fontId="29" fillId="10" borderId="97" xfId="0" applyFont="1" applyFill="1" applyBorder="1" applyAlignment="1" applyProtection="1">
      <alignment horizontal="left" vertical="center"/>
      <protection hidden="1"/>
    </xf>
    <xf numFmtId="1" fontId="29" fillId="10" borderId="69" xfId="0" applyFont="1" applyFill="1" applyBorder="1" applyAlignment="1" applyProtection="1">
      <alignment horizontal="left" vertical="center"/>
      <protection hidden="1"/>
    </xf>
    <xf numFmtId="1" fontId="9" fillId="14" borderId="98" xfId="0" applyFont="1" applyFill="1" applyBorder="1" applyAlignment="1" applyProtection="1">
      <alignment horizontal="center" vertical="center"/>
      <protection hidden="1"/>
    </xf>
    <xf numFmtId="1" fontId="9" fillId="14" borderId="96" xfId="0" applyFont="1" applyFill="1" applyBorder="1" applyAlignment="1" applyProtection="1">
      <alignment horizontal="center" vertical="center"/>
      <protection hidden="1"/>
    </xf>
    <xf numFmtId="1" fontId="36" fillId="9" borderId="94" xfId="0" applyFont="1" applyFill="1" applyBorder="1" applyAlignment="1" applyProtection="1">
      <alignment horizontal="center" vertical="center"/>
      <protection locked="0"/>
    </xf>
    <xf numFmtId="1" fontId="29" fillId="10" borderId="50" xfId="0" applyFont="1" applyFill="1" applyBorder="1" applyAlignment="1" applyProtection="1">
      <alignment horizontal="left" vertical="center"/>
      <protection hidden="1"/>
    </xf>
    <xf numFmtId="1" fontId="9" fillId="14" borderId="94" xfId="0" applyFont="1" applyFill="1" applyBorder="1" applyAlignment="1" applyProtection="1">
      <alignment horizontal="center" vertical="center"/>
      <protection hidden="1"/>
    </xf>
    <xf numFmtId="1" fontId="29" fillId="10" borderId="100" xfId="0" applyFont="1" applyFill="1" applyBorder="1" applyAlignment="1" applyProtection="1">
      <alignment horizontal="left" vertical="center"/>
      <protection hidden="1"/>
    </xf>
    <xf numFmtId="1" fontId="29" fillId="10" borderId="2" xfId="0" applyFont="1" applyFill="1" applyBorder="1" applyAlignment="1" applyProtection="1">
      <alignment horizontal="left" vertical="center"/>
      <protection hidden="1"/>
    </xf>
    <xf numFmtId="1" fontId="29" fillId="10" borderId="83" xfId="0" applyFont="1" applyFill="1" applyBorder="1" applyAlignment="1" applyProtection="1">
      <alignment horizontal="left" vertical="center"/>
      <protection hidden="1"/>
    </xf>
    <xf numFmtId="1" fontId="29" fillId="10" borderId="84" xfId="0" applyFont="1" applyFill="1" applyBorder="1" applyAlignment="1" applyProtection="1">
      <alignment horizontal="left" vertical="center"/>
      <protection hidden="1"/>
    </xf>
    <xf numFmtId="10" fontId="12" fillId="4" borderId="2" xfId="0" applyNumberFormat="1" applyFont="1" applyFill="1" applyBorder="1" applyAlignment="1" applyProtection="1">
      <alignment horizontal="center" vertical="center"/>
      <protection hidden="1"/>
    </xf>
    <xf numFmtId="10" fontId="12" fillId="4" borderId="101" xfId="0" applyNumberFormat="1" applyFont="1" applyFill="1" applyBorder="1" applyAlignment="1" applyProtection="1">
      <alignment horizontal="center" vertical="center"/>
      <protection hidden="1"/>
    </xf>
    <xf numFmtId="10" fontId="12" fillId="4" borderId="84" xfId="0" applyNumberFormat="1" applyFont="1" applyFill="1" applyBorder="1" applyAlignment="1" applyProtection="1">
      <alignment horizontal="center" vertical="center"/>
      <protection hidden="1"/>
    </xf>
    <xf numFmtId="10" fontId="12" fillId="4" borderId="99" xfId="0" applyNumberFormat="1" applyFont="1" applyFill="1" applyBorder="1" applyAlignment="1" applyProtection="1">
      <alignment horizontal="center" vertical="center"/>
      <protection hidden="1"/>
    </xf>
    <xf numFmtId="1" fontId="32" fillId="3" borderId="100" xfId="0" applyFont="1" applyFill="1" applyBorder="1" applyAlignment="1" applyProtection="1">
      <alignment horizontal="center" vertical="center"/>
      <protection hidden="1"/>
    </xf>
    <xf numFmtId="1" fontId="29" fillId="10" borderId="8" xfId="0" applyFont="1" applyFill="1" applyBorder="1" applyAlignment="1" applyProtection="1">
      <alignment horizontal="left" vertical="center"/>
      <protection hidden="1"/>
    </xf>
    <xf numFmtId="1" fontId="9" fillId="4" borderId="8" xfId="0" applyFont="1" applyFill="1" applyBorder="1" applyAlignment="1" applyProtection="1">
      <alignment horizontal="center" vertical="center"/>
      <protection hidden="1"/>
    </xf>
    <xf numFmtId="1" fontId="9" fillId="4" borderId="108" xfId="0" applyFont="1" applyFill="1" applyBorder="1" applyAlignment="1" applyProtection="1">
      <alignment horizontal="center" vertical="center"/>
      <protection hidden="1"/>
    </xf>
    <xf numFmtId="10" fontId="12" fillId="4" borderId="10" xfId="0" applyNumberFormat="1" applyFont="1" applyFill="1" applyBorder="1" applyAlignment="1" applyProtection="1">
      <alignment horizontal="center" vertical="center"/>
      <protection hidden="1"/>
    </xf>
    <xf numFmtId="10" fontId="12" fillId="4" borderId="98" xfId="0" applyNumberFormat="1" applyFont="1" applyFill="1" applyBorder="1" applyAlignment="1" applyProtection="1">
      <alignment horizontal="center" vertical="center"/>
      <protection hidden="1"/>
    </xf>
    <xf numFmtId="1" fontId="35" fillId="3" borderId="97" xfId="0" applyFont="1" applyFill="1" applyBorder="1" applyAlignment="1" applyProtection="1">
      <alignment horizontal="left" vertical="center"/>
      <protection hidden="1"/>
    </xf>
    <xf numFmtId="1" fontId="35" fillId="3" borderId="69" xfId="0" applyFont="1" applyFill="1" applyBorder="1" applyAlignment="1" applyProtection="1">
      <alignment horizontal="left" vertical="center"/>
      <protection hidden="1"/>
    </xf>
    <xf numFmtId="1" fontId="36" fillId="9" borderId="98" xfId="0" applyFont="1" applyFill="1" applyBorder="1" applyAlignment="1" applyProtection="1">
      <alignment horizontal="center" vertical="center"/>
      <protection locked="0"/>
    </xf>
    <xf numFmtId="1" fontId="36" fillId="9" borderId="96" xfId="0" applyFont="1" applyFill="1" applyBorder="1" applyAlignment="1" applyProtection="1">
      <alignment horizontal="center" vertical="center"/>
      <protection locked="0"/>
    </xf>
    <xf numFmtId="1" fontId="35" fillId="3" borderId="50" xfId="0" applyFont="1" applyFill="1" applyBorder="1" applyAlignment="1" applyProtection="1">
      <alignment horizontal="left" vertical="center"/>
      <protection hidden="1"/>
    </xf>
    <xf numFmtId="1" fontId="11" fillId="7" borderId="39" xfId="0" applyFont="1" applyFill="1" applyBorder="1" applyAlignment="1" applyProtection="1">
      <alignment horizontal="center" vertical="center"/>
      <protection hidden="1"/>
    </xf>
    <xf numFmtId="1" fontId="11" fillId="7" borderId="93" xfId="0" applyFont="1" applyFill="1" applyBorder="1" applyAlignment="1" applyProtection="1">
      <alignment horizontal="center" vertical="center"/>
      <protection hidden="1"/>
    </xf>
    <xf numFmtId="1" fontId="11" fillId="7" borderId="100" xfId="0" applyFont="1" applyFill="1" applyBorder="1" applyAlignment="1" applyProtection="1">
      <alignment horizontal="center" vertical="center"/>
      <protection hidden="1"/>
    </xf>
    <xf numFmtId="1" fontId="11" fillId="7" borderId="101" xfId="0" applyFont="1" applyFill="1" applyBorder="1" applyAlignment="1" applyProtection="1">
      <alignment horizontal="center" vertical="center"/>
      <protection hidden="1"/>
    </xf>
    <xf numFmtId="1" fontId="11" fillId="7" borderId="82" xfId="0" applyFont="1" applyFill="1" applyBorder="1" applyAlignment="1" applyProtection="1">
      <alignment horizontal="center" vertical="center"/>
      <protection hidden="1"/>
    </xf>
    <xf numFmtId="1" fontId="11" fillId="7" borderId="2" xfId="0" applyFont="1" applyFill="1" applyBorder="1" applyAlignment="1" applyProtection="1">
      <alignment horizontal="center" vertical="center"/>
      <protection hidden="1"/>
    </xf>
    <xf numFmtId="2" fontId="30" fillId="9" borderId="82" xfId="0" applyNumberFormat="1" applyFont="1" applyFill="1" applyBorder="1" applyAlignment="1" applyProtection="1">
      <alignment horizontal="center" vertical="center"/>
      <protection locked="0"/>
    </xf>
    <xf numFmtId="2" fontId="30" fillId="9" borderId="93" xfId="0" applyNumberFormat="1" applyFont="1" applyFill="1" applyBorder="1" applyAlignment="1" applyProtection="1">
      <alignment horizontal="center" vertical="center"/>
      <protection locked="0"/>
    </xf>
    <xf numFmtId="2" fontId="30" fillId="9" borderId="2" xfId="0" applyNumberFormat="1" applyFont="1" applyFill="1" applyBorder="1" applyAlignment="1" applyProtection="1">
      <alignment horizontal="center" vertical="center"/>
      <protection locked="0"/>
    </xf>
    <xf numFmtId="2" fontId="30" fillId="9" borderId="101" xfId="0" applyNumberFormat="1" applyFont="1" applyFill="1" applyBorder="1" applyAlignment="1" applyProtection="1">
      <alignment horizontal="center" vertical="center"/>
      <protection locked="0"/>
    </xf>
    <xf numFmtId="1" fontId="35" fillId="3" borderId="68" xfId="0" applyFont="1" applyFill="1" applyBorder="1" applyAlignment="1" applyProtection="1">
      <alignment horizontal="left" vertical="center"/>
      <protection hidden="1"/>
    </xf>
    <xf numFmtId="1" fontId="29" fillId="10" borderId="68" xfId="0" applyFont="1" applyFill="1" applyBorder="1" applyAlignment="1" applyProtection="1">
      <alignment horizontal="left" vertical="center"/>
      <protection hidden="1"/>
    </xf>
    <xf numFmtId="1" fontId="9" fillId="14" borderId="108" xfId="0" applyFont="1" applyFill="1" applyBorder="1" applyAlignment="1" applyProtection="1">
      <alignment horizontal="center" vertical="center"/>
      <protection hidden="1"/>
    </xf>
    <xf numFmtId="1" fontId="0" fillId="12" borderId="113" xfId="0" applyFill="1" applyBorder="1" applyProtection="1">
      <alignment horizontal="center" vertical="center"/>
    </xf>
    <xf numFmtId="1" fontId="0" fillId="12" borderId="114" xfId="0" applyFill="1" applyBorder="1" applyProtection="1">
      <alignment horizontal="center" vertical="center"/>
    </xf>
    <xf numFmtId="1" fontId="34" fillId="7" borderId="39" xfId="0" applyFont="1" applyFill="1" applyBorder="1" applyAlignment="1" applyProtection="1">
      <alignment horizontal="center" vertical="center"/>
      <protection hidden="1"/>
    </xf>
    <xf numFmtId="1" fontId="34" fillId="7" borderId="82" xfId="0" applyFont="1" applyFill="1" applyBorder="1" applyAlignment="1" applyProtection="1">
      <alignment horizontal="center" vertical="center"/>
      <protection hidden="1"/>
    </xf>
    <xf numFmtId="1" fontId="32" fillId="3" borderId="109" xfId="0" applyFont="1" applyFill="1" applyBorder="1" applyAlignment="1" applyProtection="1">
      <alignment horizontal="center" vertical="center"/>
      <protection hidden="1"/>
    </xf>
    <xf numFmtId="1" fontId="12" fillId="5" borderId="109" xfId="0" applyFont="1" applyFill="1" applyBorder="1" applyAlignment="1" applyProtection="1">
      <alignment horizontal="center" vertical="center"/>
      <protection hidden="1"/>
    </xf>
    <xf numFmtId="1" fontId="12" fillId="5" borderId="110" xfId="0" applyFont="1" applyFill="1" applyBorder="1" applyAlignment="1" applyProtection="1">
      <alignment horizontal="center" vertical="center"/>
      <protection hidden="1"/>
    </xf>
    <xf numFmtId="1" fontId="12" fillId="5" borderId="2" xfId="0" applyFont="1" applyFill="1" applyBorder="1" applyAlignment="1" applyProtection="1">
      <alignment horizontal="center" vertical="center"/>
      <protection hidden="1"/>
    </xf>
    <xf numFmtId="1" fontId="32" fillId="3" borderId="10" xfId="0" applyFont="1" applyFill="1" applyBorder="1" applyAlignment="1" applyProtection="1">
      <alignment horizontal="center" vertical="center"/>
      <protection hidden="1"/>
    </xf>
    <xf numFmtId="1" fontId="12" fillId="9" borderId="100" xfId="0" applyFont="1" applyFill="1" applyBorder="1" applyAlignment="1" applyProtection="1">
      <alignment horizontal="center" vertical="center"/>
      <protection locked="0"/>
    </xf>
    <xf numFmtId="1" fontId="12" fillId="9" borderId="83" xfId="0" applyFont="1" applyFill="1" applyBorder="1" applyAlignment="1" applyProtection="1">
      <alignment horizontal="center" vertical="center"/>
      <protection locked="0"/>
    </xf>
    <xf numFmtId="1" fontId="29" fillId="10" borderId="10" xfId="0" applyFont="1" applyFill="1" applyBorder="1" applyAlignment="1" applyProtection="1">
      <alignment horizontal="left" vertical="center"/>
      <protection hidden="1"/>
    </xf>
    <xf numFmtId="1" fontId="29" fillId="10" borderId="95" xfId="0" applyFont="1" applyFill="1" applyBorder="1" applyAlignment="1" applyProtection="1">
      <alignment horizontal="left" vertical="center"/>
      <protection hidden="1"/>
    </xf>
    <xf numFmtId="1" fontId="9" fillId="4" borderId="10" xfId="0" applyFont="1" applyFill="1" applyBorder="1" applyAlignment="1" applyProtection="1">
      <alignment horizontal="center" vertical="center"/>
      <protection hidden="1"/>
    </xf>
    <xf numFmtId="1" fontId="9" fillId="4" borderId="98" xfId="0" applyFont="1" applyFill="1" applyBorder="1" applyAlignment="1" applyProtection="1">
      <alignment horizontal="center" vertical="center"/>
      <protection hidden="1"/>
    </xf>
    <xf numFmtId="1" fontId="9" fillId="4" borderId="95" xfId="0" applyFont="1" applyFill="1" applyBorder="1" applyAlignment="1" applyProtection="1">
      <alignment horizontal="center" vertical="center"/>
      <protection hidden="1"/>
    </xf>
    <xf numFmtId="1" fontId="9" fillId="4" borderId="96" xfId="0" applyFont="1" applyFill="1" applyBorder="1" applyAlignment="1" applyProtection="1">
      <alignment horizontal="center" vertical="center"/>
      <protection hidden="1"/>
    </xf>
    <xf numFmtId="10" fontId="12" fillId="4" borderId="1" xfId="0" applyNumberFormat="1" applyFont="1" applyFill="1" applyBorder="1" applyAlignment="1" applyProtection="1">
      <alignment horizontal="center" vertical="center"/>
      <protection hidden="1"/>
    </xf>
    <xf numFmtId="10" fontId="12" fillId="4" borderId="94" xfId="0" applyNumberFormat="1" applyFont="1" applyFill="1" applyBorder="1" applyAlignment="1" applyProtection="1">
      <alignment horizontal="center" vertical="center"/>
      <protection hidden="1"/>
    </xf>
    <xf numFmtId="1" fontId="9" fillId="5" borderId="1" xfId="0" applyFont="1" applyFill="1" applyBorder="1" applyAlignment="1" applyProtection="1">
      <alignment horizontal="center" vertical="center"/>
      <protection hidden="1"/>
    </xf>
    <xf numFmtId="1" fontId="35" fillId="3" borderId="1" xfId="0" applyFont="1" applyFill="1" applyBorder="1" applyAlignment="1" applyProtection="1">
      <alignment horizontal="center" vertical="center"/>
      <protection hidden="1"/>
    </xf>
    <xf numFmtId="1" fontId="9" fillId="5" borderId="94" xfId="0" applyFont="1" applyFill="1" applyBorder="1" applyAlignment="1" applyProtection="1">
      <alignment horizontal="center" vertical="center"/>
      <protection hidden="1"/>
    </xf>
    <xf numFmtId="1" fontId="29" fillId="10" borderId="1" xfId="0" applyFont="1" applyFill="1" applyBorder="1" applyAlignment="1" applyProtection="1">
      <alignment horizontal="left" vertical="center"/>
      <protection hidden="1"/>
    </xf>
    <xf numFmtId="1" fontId="12" fillId="14" borderId="83" xfId="0" applyFont="1" applyFill="1" applyBorder="1" applyAlignment="1" applyProtection="1">
      <alignment horizontal="center" vertical="center"/>
      <protection hidden="1"/>
    </xf>
    <xf numFmtId="1" fontId="12" fillId="14" borderId="99" xfId="0" applyFont="1" applyFill="1" applyBorder="1" applyAlignment="1" applyProtection="1">
      <alignment horizontal="center" vertical="center"/>
      <protection hidden="1"/>
    </xf>
    <xf numFmtId="10" fontId="12" fillId="4" borderId="95" xfId="0" applyNumberFormat="1" applyFont="1" applyFill="1" applyBorder="1" applyAlignment="1" applyProtection="1">
      <alignment horizontal="center" vertical="center"/>
      <protection hidden="1"/>
    </xf>
    <xf numFmtId="10" fontId="12" fillId="4" borderId="96" xfId="0" applyNumberFormat="1" applyFont="1" applyFill="1" applyBorder="1" applyAlignment="1" applyProtection="1">
      <alignment horizontal="center" vertical="center"/>
      <protection hidden="1"/>
    </xf>
    <xf numFmtId="1" fontId="9" fillId="14" borderId="83" xfId="0" applyFont="1" applyFill="1" applyBorder="1" applyAlignment="1" applyProtection="1">
      <alignment horizontal="center" vertical="center"/>
      <protection hidden="1"/>
    </xf>
    <xf numFmtId="1" fontId="9" fillId="14" borderId="99" xfId="0" applyFont="1" applyFill="1" applyBorder="1" applyAlignment="1" applyProtection="1">
      <alignment horizontal="center" vertical="center"/>
      <protection hidden="1"/>
    </xf>
    <xf numFmtId="1" fontId="35" fillId="3" borderId="97" xfId="0" applyFont="1" applyFill="1" applyBorder="1" applyAlignment="1" applyProtection="1">
      <alignment horizontal="center" vertical="center"/>
      <protection hidden="1"/>
    </xf>
    <xf numFmtId="1" fontId="35" fillId="3" borderId="69" xfId="0" applyFont="1" applyFill="1" applyBorder="1" applyAlignment="1" applyProtection="1">
      <alignment horizontal="center" vertical="center"/>
      <protection hidden="1"/>
    </xf>
    <xf numFmtId="1" fontId="9" fillId="5" borderId="10" xfId="0" applyFont="1" applyFill="1" applyBorder="1" applyAlignment="1" applyProtection="1">
      <alignment horizontal="center" vertical="center"/>
      <protection hidden="1"/>
    </xf>
    <xf numFmtId="1" fontId="9" fillId="5" borderId="95" xfId="0" applyFont="1" applyFill="1" applyBorder="1" applyAlignment="1" applyProtection="1">
      <alignment horizontal="center" vertical="center"/>
      <protection hidden="1"/>
    </xf>
    <xf numFmtId="1" fontId="35" fillId="3" borderId="10" xfId="0" applyFont="1" applyFill="1" applyBorder="1" applyAlignment="1" applyProtection="1">
      <alignment horizontal="center" vertical="center"/>
      <protection hidden="1"/>
    </xf>
    <xf numFmtId="1" fontId="35" fillId="3" borderId="95" xfId="0" applyFont="1" applyFill="1" applyBorder="1" applyAlignment="1" applyProtection="1">
      <alignment horizontal="center" vertical="center"/>
      <protection hidden="1"/>
    </xf>
    <xf numFmtId="1" fontId="9" fillId="5" borderId="98" xfId="0" applyFont="1" applyFill="1" applyBorder="1" applyAlignment="1" applyProtection="1">
      <alignment horizontal="center" vertical="center"/>
      <protection hidden="1"/>
    </xf>
    <xf numFmtId="1" fontId="9" fillId="5" borderId="96" xfId="0" applyFont="1" applyFill="1" applyBorder="1" applyAlignment="1" applyProtection="1">
      <alignment horizontal="center" vertical="center"/>
      <protection hidden="1"/>
    </xf>
    <xf numFmtId="1" fontId="31" fillId="4" borderId="100" xfId="0" applyFont="1" applyFill="1" applyBorder="1" applyAlignment="1" applyProtection="1">
      <alignment horizontal="center" vertical="center" wrapText="1"/>
      <protection hidden="1"/>
    </xf>
    <xf numFmtId="1" fontId="31" fillId="4" borderId="101" xfId="0" applyFont="1" applyFill="1" applyBorder="1" applyAlignment="1" applyProtection="1">
      <alignment horizontal="center" vertical="center" wrapText="1"/>
      <protection hidden="1"/>
    </xf>
    <xf numFmtId="1" fontId="31" fillId="4" borderId="83" xfId="0" applyFont="1" applyFill="1" applyBorder="1" applyAlignment="1" applyProtection="1">
      <alignment horizontal="center" vertical="center" wrapText="1"/>
      <protection hidden="1"/>
    </xf>
    <xf numFmtId="1" fontId="31" fillId="4" borderId="99" xfId="0" applyFont="1" applyFill="1" applyBorder="1" applyAlignment="1" applyProtection="1">
      <alignment horizontal="center" vertical="center" wrapText="1"/>
      <protection hidden="1"/>
    </xf>
    <xf numFmtId="1" fontId="31" fillId="4" borderId="100" xfId="0" applyFont="1" applyFill="1" applyBorder="1" applyAlignment="1" applyProtection="1">
      <alignment horizontal="center" vertical="center"/>
      <protection hidden="1"/>
    </xf>
    <xf numFmtId="1" fontId="31" fillId="4" borderId="101" xfId="0" applyFont="1" applyFill="1" applyBorder="1" applyAlignment="1" applyProtection="1">
      <alignment horizontal="center" vertical="center"/>
      <protection hidden="1"/>
    </xf>
    <xf numFmtId="1" fontId="31" fillId="4" borderId="83" xfId="0" applyFont="1" applyFill="1" applyBorder="1" applyAlignment="1" applyProtection="1">
      <alignment horizontal="center" vertical="center"/>
      <protection hidden="1"/>
    </xf>
    <xf numFmtId="1" fontId="31" fillId="4" borderId="99" xfId="0" applyFont="1" applyFill="1" applyBorder="1" applyAlignment="1" applyProtection="1">
      <alignment horizontal="center" vertical="center"/>
      <protection hidden="1"/>
    </xf>
    <xf numFmtId="1" fontId="32" fillId="3" borderId="50" xfId="0" applyFont="1" applyFill="1" applyBorder="1" applyAlignment="1" applyProtection="1">
      <alignment horizontal="left" vertical="center"/>
      <protection hidden="1"/>
    </xf>
    <xf numFmtId="1" fontId="33" fillId="13" borderId="94" xfId="0" applyFont="1" applyFill="1" applyBorder="1" applyAlignment="1" applyProtection="1">
      <alignment horizontal="center" vertical="center"/>
      <protection hidden="1"/>
    </xf>
    <xf numFmtId="2" fontId="25" fillId="9" borderId="39" xfId="0" applyNumberFormat="1" applyFont="1" applyFill="1" applyBorder="1" applyAlignment="1" applyProtection="1">
      <alignment horizontal="center" vertical="center"/>
      <protection locked="0"/>
    </xf>
    <xf numFmtId="2" fontId="25" fillId="9" borderId="82" xfId="0" applyNumberFormat="1" applyFont="1" applyFill="1" applyBorder="1" applyAlignment="1" applyProtection="1">
      <alignment horizontal="center" vertical="center"/>
      <protection locked="0"/>
    </xf>
    <xf numFmtId="1" fontId="0" fillId="12" borderId="115" xfId="0" applyFill="1" applyBorder="1" applyProtection="1">
      <alignment horizontal="center" vertical="center"/>
    </xf>
    <xf numFmtId="1" fontId="0" fillId="12" borderId="116" xfId="0" applyFill="1" applyBorder="1" applyProtection="1">
      <alignment horizontal="center" vertical="center"/>
    </xf>
    <xf numFmtId="1" fontId="0" fillId="12" borderId="117" xfId="0" applyFill="1" applyBorder="1" applyProtection="1">
      <alignment horizontal="center" vertical="center"/>
    </xf>
    <xf numFmtId="1" fontId="0" fillId="12" borderId="118" xfId="0" applyFill="1" applyBorder="1" applyProtection="1">
      <alignment horizontal="center" vertical="center"/>
    </xf>
    <xf numFmtId="1" fontId="31" fillId="4" borderId="102" xfId="0" applyFont="1" applyFill="1" applyBorder="1" applyAlignment="1" applyProtection="1">
      <alignment horizontal="center" vertical="center"/>
      <protection hidden="1"/>
    </xf>
    <xf numFmtId="1" fontId="31" fillId="4" borderId="104" xfId="0" applyFont="1" applyFill="1" applyBorder="1" applyAlignment="1" applyProtection="1">
      <alignment horizontal="center" vertical="center"/>
      <protection hidden="1"/>
    </xf>
    <xf numFmtId="1" fontId="31" fillId="4" borderId="3" xfId="0" applyFont="1" applyFill="1" applyBorder="1" applyAlignment="1" applyProtection="1">
      <alignment horizontal="center" vertical="center"/>
      <protection hidden="1"/>
    </xf>
    <xf numFmtId="1" fontId="31" fillId="4" borderId="105" xfId="0" applyFont="1" applyFill="1" applyBorder="1" applyAlignment="1" applyProtection="1">
      <alignment horizontal="center" vertical="center"/>
      <protection hidden="1"/>
    </xf>
    <xf numFmtId="1" fontId="12" fillId="5" borderId="8" xfId="0" applyFont="1" applyFill="1" applyBorder="1" applyAlignment="1" applyProtection="1">
      <alignment horizontal="center" vertical="center"/>
      <protection hidden="1"/>
    </xf>
    <xf numFmtId="1" fontId="32" fillId="3" borderId="1" xfId="0" applyFont="1" applyFill="1" applyBorder="1" applyAlignment="1" applyProtection="1">
      <alignment horizontal="center" vertical="center"/>
      <protection hidden="1"/>
    </xf>
    <xf numFmtId="2" fontId="25" fillId="9" borderId="68" xfId="0" applyNumberFormat="1" applyFont="1" applyFill="1" applyBorder="1" applyAlignment="1" applyProtection="1">
      <alignment horizontal="center" vertical="center"/>
      <protection locked="0"/>
    </xf>
    <xf numFmtId="2" fontId="25" fillId="9" borderId="8" xfId="0" applyNumberFormat="1" applyFont="1" applyFill="1" applyBorder="1" applyAlignment="1" applyProtection="1">
      <alignment horizontal="center" vertical="center"/>
      <protection locked="0"/>
    </xf>
    <xf numFmtId="1" fontId="12" fillId="5" borderId="95" xfId="0" applyFont="1" applyFill="1" applyBorder="1" applyAlignment="1" applyProtection="1">
      <alignment horizontal="center" vertical="center"/>
      <protection hidden="1"/>
    </xf>
    <xf numFmtId="1" fontId="32" fillId="3" borderId="95" xfId="0" applyFont="1" applyFill="1" applyBorder="1" applyAlignment="1" applyProtection="1">
      <alignment horizontal="center" vertical="center"/>
      <protection hidden="1"/>
    </xf>
    <xf numFmtId="2" fontId="25" fillId="9" borderId="69" xfId="0" applyNumberFormat="1" applyFont="1" applyFill="1" applyBorder="1" applyAlignment="1" applyProtection="1">
      <alignment horizontal="center" vertical="center"/>
      <protection locked="0"/>
    </xf>
    <xf numFmtId="2" fontId="25" fillId="9" borderId="95" xfId="0" applyNumberFormat="1" applyFont="1" applyFill="1" applyBorder="1" applyAlignment="1" applyProtection="1">
      <alignment horizontal="center" vertical="center"/>
      <protection locked="0"/>
    </xf>
    <xf numFmtId="1" fontId="31" fillId="4" borderId="4" xfId="0" applyFont="1" applyFill="1" applyBorder="1" applyAlignment="1" applyProtection="1">
      <alignment horizontal="center" vertical="center"/>
      <protection hidden="1"/>
    </xf>
    <xf numFmtId="1" fontId="31" fillId="4" borderId="103" xfId="0" applyFont="1" applyFill="1" applyBorder="1" applyAlignment="1" applyProtection="1">
      <alignment horizontal="center" vertical="center"/>
      <protection hidden="1"/>
    </xf>
    <xf numFmtId="1" fontId="31" fillId="4" borderId="106" xfId="0" applyFont="1" applyFill="1" applyBorder="1" applyAlignment="1" applyProtection="1">
      <alignment horizontal="center" vertical="center"/>
      <protection hidden="1"/>
    </xf>
    <xf numFmtId="1" fontId="31" fillId="4" borderId="107" xfId="0" applyFont="1" applyFill="1" applyBorder="1" applyAlignment="1" applyProtection="1">
      <alignment horizontal="center" vertical="center"/>
      <protection hidden="1"/>
    </xf>
    <xf numFmtId="1" fontId="12" fillId="5" borderId="10" xfId="0" applyFont="1" applyFill="1" applyBorder="1" applyAlignment="1" applyProtection="1">
      <alignment horizontal="center" vertical="center"/>
      <protection hidden="1"/>
    </xf>
    <xf numFmtId="1" fontId="12" fillId="5" borderId="98" xfId="0" applyFont="1" applyFill="1" applyBorder="1" applyAlignment="1" applyProtection="1">
      <alignment horizontal="center" vertical="center"/>
      <protection hidden="1"/>
    </xf>
    <xf numFmtId="1" fontId="29" fillId="3" borderId="50" xfId="0" applyFont="1" applyFill="1" applyBorder="1" applyAlignment="1" applyProtection="1">
      <alignment horizontal="left" vertical="center"/>
      <protection hidden="1"/>
    </xf>
    <xf numFmtId="1" fontId="29" fillId="3" borderId="1" xfId="0" applyFont="1" applyFill="1" applyBorder="1" applyAlignment="1" applyProtection="1">
      <alignment horizontal="left" vertical="center"/>
      <protection hidden="1"/>
    </xf>
    <xf numFmtId="1" fontId="23" fillId="9" borderId="1" xfId="0" applyFont="1" applyFill="1" applyBorder="1" applyAlignment="1" applyProtection="1">
      <alignment horizontal="center" vertical="center"/>
      <protection locked="0"/>
    </xf>
    <xf numFmtId="1" fontId="23" fillId="9" borderId="94" xfId="0" applyFont="1" applyFill="1" applyBorder="1" applyAlignment="1" applyProtection="1">
      <alignment horizontal="center" vertical="center"/>
      <protection locked="0"/>
    </xf>
    <xf numFmtId="1" fontId="29" fillId="3" borderId="50" xfId="20" applyFont="1" applyFill="1" applyBorder="1" applyAlignment="1" applyProtection="1">
      <alignment horizontal="left" vertical="center"/>
      <protection hidden="1"/>
    </xf>
    <xf numFmtId="1" fontId="29" fillId="3" borderId="1" xfId="20" applyFont="1" applyFill="1" applyBorder="1" applyAlignment="1" applyProtection="1">
      <alignment horizontal="left" vertical="center"/>
      <protection hidden="1"/>
    </xf>
    <xf numFmtId="1" fontId="29" fillId="3" borderId="69" xfId="0" applyFont="1" applyFill="1" applyBorder="1" applyAlignment="1" applyProtection="1">
      <alignment horizontal="left" vertical="center"/>
      <protection hidden="1"/>
    </xf>
    <xf numFmtId="1" fontId="29" fillId="3" borderId="95" xfId="0" applyFont="1" applyFill="1" applyBorder="1" applyAlignment="1" applyProtection="1">
      <alignment horizontal="left" vertical="center"/>
      <protection hidden="1"/>
    </xf>
    <xf numFmtId="1" fontId="23" fillId="9" borderId="95" xfId="0" applyFont="1" applyFill="1" applyBorder="1" applyAlignment="1" applyProtection="1">
      <alignment horizontal="center" vertical="center"/>
      <protection locked="0"/>
    </xf>
    <xf numFmtId="1" fontId="23" fillId="9" borderId="96" xfId="0" applyFont="1" applyFill="1" applyBorder="1" applyAlignment="1" applyProtection="1">
      <alignment horizontal="center" vertical="center"/>
      <protection locked="0"/>
    </xf>
    <xf numFmtId="1" fontId="28" fillId="7" borderId="16" xfId="0" applyFont="1" applyFill="1" applyBorder="1" applyAlignment="1" applyProtection="1">
      <alignment horizontal="center" vertical="center"/>
      <protection hidden="1"/>
    </xf>
    <xf numFmtId="1" fontId="28" fillId="7" borderId="17" xfId="0" applyFont="1" applyFill="1" applyBorder="1" applyAlignment="1" applyProtection="1">
      <alignment horizontal="center" vertical="center"/>
      <protection hidden="1"/>
    </xf>
    <xf numFmtId="1" fontId="28" fillId="7" borderId="18" xfId="0" applyFont="1" applyFill="1" applyBorder="1" applyAlignment="1" applyProtection="1">
      <alignment horizontal="center" vertical="center"/>
      <protection hidden="1"/>
    </xf>
    <xf numFmtId="1" fontId="0" fillId="12" borderId="111" xfId="0" applyFill="1" applyBorder="1" applyProtection="1">
      <alignment horizontal="center" vertical="center"/>
    </xf>
    <xf numFmtId="1" fontId="0" fillId="12" borderId="112" xfId="0" applyFill="1" applyBorder="1" applyProtection="1">
      <alignment horizontal="center" vertical="center"/>
    </xf>
    <xf numFmtId="1" fontId="12" fillId="5" borderId="82" xfId="0" applyFont="1" applyFill="1" applyBorder="1" applyAlignment="1" applyProtection="1">
      <alignment horizontal="center" vertical="center"/>
      <protection hidden="1"/>
    </xf>
    <xf numFmtId="1" fontId="12" fillId="5" borderId="93" xfId="0" applyFont="1" applyFill="1" applyBorder="1" applyAlignment="1" applyProtection="1">
      <alignment horizontal="center" vertical="center"/>
      <protection hidden="1"/>
    </xf>
    <xf numFmtId="1" fontId="22" fillId="5" borderId="83" xfId="0" applyFont="1" applyFill="1" applyBorder="1" applyAlignment="1" applyProtection="1">
      <alignment horizontal="center" vertical="center"/>
      <protection hidden="1"/>
    </xf>
    <xf numFmtId="1" fontId="22" fillId="5" borderId="99" xfId="0" applyFont="1" applyFill="1" applyBorder="1" applyAlignment="1" applyProtection="1">
      <alignment horizontal="center" vertical="center"/>
      <protection hidden="1"/>
    </xf>
    <xf numFmtId="1" fontId="22" fillId="7" borderId="39" xfId="0" applyFont="1" applyFill="1" applyBorder="1" applyAlignment="1" applyProtection="1">
      <alignment horizontal="center" vertical="center"/>
      <protection hidden="1"/>
    </xf>
    <xf numFmtId="1" fontId="22" fillId="7" borderId="82" xfId="0" applyFont="1" applyFill="1" applyBorder="1" applyAlignment="1" applyProtection="1">
      <alignment horizontal="center" vertical="center"/>
      <protection hidden="1"/>
    </xf>
    <xf numFmtId="1" fontId="22" fillId="7" borderId="93" xfId="0" applyFont="1" applyFill="1" applyBorder="1" applyAlignment="1" applyProtection="1">
      <alignment horizontal="center" vertical="center"/>
      <protection hidden="1"/>
    </xf>
    <xf numFmtId="1" fontId="31" fillId="4" borderId="5" xfId="0" applyFont="1" applyFill="1" applyBorder="1" applyAlignment="1" applyProtection="1">
      <alignment horizontal="center" vertical="center"/>
      <protection hidden="1"/>
    </xf>
    <xf numFmtId="1" fontId="31" fillId="4" borderId="85" xfId="0" applyFont="1" applyFill="1" applyBorder="1" applyAlignment="1" applyProtection="1">
      <alignment horizontal="center" vertical="center"/>
      <protection hidden="1"/>
    </xf>
    <xf numFmtId="1" fontId="39" fillId="7" borderId="39" xfId="0" applyFont="1" applyFill="1" applyBorder="1" applyAlignment="1" applyProtection="1">
      <alignment horizontal="center" vertical="center"/>
    </xf>
    <xf numFmtId="1" fontId="39" fillId="7" borderId="93" xfId="0" applyFont="1" applyFill="1" applyBorder="1" applyAlignment="1" applyProtection="1">
      <alignment horizontal="center" vertical="center"/>
    </xf>
  </cellXfs>
  <cellStyles count="23">
    <cellStyle name="Excel Built-in Normal" xfId="1" xr:uid="{00000000-0005-0000-0000-000000000000}"/>
    <cellStyle name="Excel_CondFormat_1_1_1" xfId="2" xr:uid="{00000000-0005-0000-0000-000001000000}"/>
    <cellStyle name="Heading" xfId="3" xr:uid="{00000000-0005-0000-0000-000002000000}"/>
    <cellStyle name="Heading1" xfId="4" xr:uid="{00000000-0005-0000-0000-000003000000}"/>
    <cellStyle name="Normal" xfId="0" builtinId="0" customBuiltin="1"/>
    <cellStyle name="Result" xfId="5" xr:uid="{00000000-0005-0000-0000-000005000000}"/>
    <cellStyle name="Result2" xfId="6" xr:uid="{00000000-0005-0000-0000-000006000000}"/>
    <cellStyle name="Skill=OFF" xfId="7" xr:uid="{00000000-0005-0000-0000-000007000000}"/>
    <cellStyle name="Skill=ON" xfId="8" xr:uid="{00000000-0005-0000-0000-000008000000}"/>
    <cellStyle name="Slot=Empty" xfId="9" xr:uid="{00000000-0005-0000-0000-000009000000}"/>
    <cellStyle name="Slot=Full" xfId="10" xr:uid="{00000000-0005-0000-0000-00000A000000}"/>
    <cellStyle name="STAR" xfId="11" xr:uid="{00000000-0005-0000-0000-00000B000000}"/>
    <cellStyle name="STAT&lt;0" xfId="12" xr:uid="{00000000-0005-0000-0000-00000C000000}"/>
    <cellStyle name="STAT=0" xfId="13" xr:uid="{00000000-0005-0000-0000-00000D000000}"/>
    <cellStyle name="STAT&gt;0" xfId="14" xr:uid="{00000000-0005-0000-0000-00000E000000}"/>
    <cellStyle name="Total&lt;0" xfId="15" xr:uid="{00000000-0005-0000-0000-00000F000000}"/>
    <cellStyle name="Total=BASE" xfId="16" xr:uid="{00000000-0005-0000-0000-000010000000}"/>
    <cellStyle name="UTILITY=0.5" xfId="17" xr:uid="{00000000-0005-0000-0000-000011000000}"/>
    <cellStyle name="UTILITY=1" xfId="18" xr:uid="{00000000-0005-0000-0000-000012000000}"/>
    <cellStyle name="UTILITY=2" xfId="19" xr:uid="{00000000-0005-0000-0000-000013000000}"/>
    <cellStyle name="WARNING" xfId="20" xr:uid="{00000000-0005-0000-0000-000014000000}"/>
    <cellStyle name="WARNING (!)" xfId="21" xr:uid="{00000000-0005-0000-0000-000015000000}"/>
    <cellStyle name="WRONG" xfId="22" xr:uid="{00000000-0005-0000-0000-000016000000}"/>
  </cellStyles>
  <dxfs count="53"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</font>
      <numFmt numFmtId="1" formatCode="0"/>
      <fill>
        <patternFill patternType="solid">
          <fgColor rgb="FFC8FFC0"/>
          <bgColor rgb="FFC8FFC0"/>
        </patternFill>
      </fill>
    </dxf>
    <dxf>
      <font>
        <b val="0"/>
        <i/>
        <strike val="0"/>
        <outline val="0"/>
        <shadow val="0"/>
        <u val="none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 val="0"/>
        <i/>
        <strike val="0"/>
        <outline val="0"/>
        <shadow val="0"/>
        <u val="none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</font>
      <numFmt numFmtId="1" formatCode="0"/>
      <fill>
        <patternFill patternType="solid">
          <fgColor rgb="FFC8FFC0"/>
          <bgColor rgb="FFC8FFC0"/>
        </patternFill>
      </fill>
    </dxf>
    <dxf>
      <numFmt numFmtId="1" formatCode="0"/>
      <fill>
        <patternFill patternType="solid">
          <fgColor rgb="FFC8E1FF"/>
          <bgColor rgb="FFC8E1FF"/>
        </patternFill>
      </fill>
    </dxf>
    <dxf>
      <numFmt numFmtId="1" formatCode="0"/>
      <fill>
        <patternFill patternType="solid">
          <fgColor rgb="FFC8E1FF"/>
          <bgColor rgb="FFC8E1FF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/>
      </font>
      <numFmt numFmtId="1" formatCode="0"/>
      <fill>
        <patternFill patternType="solid">
          <fgColor rgb="FFFF0000"/>
          <bgColor rgb="FFFF0000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 val="0"/>
        <i val="0"/>
        <strike val="0"/>
        <u val="none"/>
        <color rgb="FFC0C0C0"/>
        <family val="3"/>
      </font>
      <numFmt numFmtId="1" formatCode="0"/>
      <fill>
        <patternFill patternType="none"/>
      </fill>
    </dxf>
    <dxf>
      <font>
        <b val="0"/>
        <i val="0"/>
        <strike val="0"/>
        <u val="none"/>
        <color rgb="FFC0C0C0"/>
        <family val="3"/>
      </font>
      <numFmt numFmtId="1" formatCode="0"/>
      <fill>
        <patternFill patternType="none"/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 val="0"/>
        <i val="0"/>
        <strike val="0"/>
        <u val="none"/>
        <color rgb="FFC0C0C0"/>
        <family val="3"/>
      </font>
      <numFmt numFmtId="1" formatCode="0"/>
      <fill>
        <patternFill patternType="none"/>
      </fill>
    </dxf>
    <dxf>
      <font>
        <b val="0"/>
        <i val="0"/>
        <strike val="0"/>
        <u val="none"/>
        <color rgb="FFC0C0C0"/>
        <family val="3"/>
      </font>
      <numFmt numFmtId="1" formatCode="0"/>
      <fill>
        <patternFill patternType="none"/>
      </fill>
    </dxf>
    <dxf>
      <font>
        <b val="0"/>
        <i val="0"/>
        <strike val="0"/>
        <u val="none"/>
        <color rgb="FFC0C0C0"/>
        <family val="3"/>
      </font>
      <numFmt numFmtId="1" formatCode="0"/>
      <fill>
        <patternFill patternType="none"/>
      </fill>
    </dxf>
    <dxf>
      <font>
        <b/>
        <i/>
        <strike val="0"/>
        <u val="none"/>
        <color rgb="FFFF0000"/>
        <family val="3"/>
      </font>
      <numFmt numFmtId="1" formatCode="0"/>
      <fill>
        <patternFill patternType="solid">
          <fgColor rgb="FFC8E1FF"/>
          <bgColor rgb="FFC8E1FF"/>
        </patternFill>
      </fill>
    </dxf>
    <dxf>
      <font>
        <b/>
        <i/>
        <strike val="0"/>
        <u val="none"/>
        <color rgb="FFFF0000"/>
        <family val="3"/>
      </font>
      <numFmt numFmtId="1" formatCode="0"/>
      <fill>
        <patternFill patternType="solid">
          <fgColor rgb="FFE4E4FF"/>
          <bgColor rgb="FFE4E4FF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  <dxf>
      <font>
        <b/>
        <i val="0"/>
        <strike val="0"/>
        <u val="none"/>
        <color rgb="FF000000"/>
        <family val="3"/>
      </font>
      <numFmt numFmtId="1" formatCode="0"/>
      <fill>
        <patternFill patternType="solid">
          <fgColor rgb="FFC0C0C0"/>
          <bgColor rgb="FFC0C0C0"/>
        </patternFill>
      </fill>
    </dxf>
  </dxfs>
  <tableStyles count="0" defaultTableStyle="TableStyleMedium2" defaultPivotStyle="PivotStyleLight16"/>
  <colors>
    <mruColors>
      <color rgb="FFEBEBEB"/>
      <color rgb="FFACACAC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9525</xdr:rowOff>
        </xdr:from>
        <xdr:to>
          <xdr:col>17</xdr:col>
          <xdr:colOff>590550</xdr:colOff>
          <xdr:row>1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Palatino Linotype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48576"/>
  <sheetViews>
    <sheetView tabSelected="1" zoomScale="175" zoomScaleNormal="175" workbookViewId="0">
      <selection activeCell="B4" sqref="B4:C5"/>
    </sheetView>
  </sheetViews>
  <sheetFormatPr defaultRowHeight="12.95" customHeight="1"/>
  <cols>
    <col min="1" max="1" width="1.42578125" style="1" customWidth="1"/>
    <col min="2" max="3" width="8.7109375" style="1" customWidth="1"/>
    <col min="4" max="4" width="3.7109375" style="1" customWidth="1"/>
    <col min="5" max="10" width="6.7109375" style="1" customWidth="1"/>
    <col min="11" max="11" width="1.28515625" style="1" customWidth="1"/>
    <col min="12" max="12" width="9" style="1" customWidth="1"/>
    <col min="13" max="13" width="4.7109375" style="1" customWidth="1"/>
    <col min="14" max="14" width="5" style="1" customWidth="1"/>
    <col min="15" max="15" width="9" style="1" customWidth="1"/>
    <col min="16" max="16" width="1.28515625" style="1" customWidth="1"/>
    <col min="17" max="17" width="8" style="1" customWidth="1"/>
    <col min="18" max="18" width="9" style="1" customWidth="1"/>
    <col min="19" max="16384" width="9.140625" style="2"/>
  </cols>
  <sheetData>
    <row r="1" spans="2:18" ht="7.15" customHeight="1" thickBot="1"/>
    <row r="2" spans="2:18" ht="21.6" customHeight="1" thickBot="1">
      <c r="B2" s="569" t="s">
        <v>0</v>
      </c>
      <c r="C2" s="570"/>
      <c r="D2" s="570"/>
      <c r="E2" s="570"/>
      <c r="F2" s="570"/>
      <c r="G2" s="570"/>
      <c r="H2" s="570"/>
      <c r="I2" s="570"/>
      <c r="J2" s="571"/>
      <c r="L2" s="569" t="s">
        <v>1</v>
      </c>
      <c r="M2" s="570"/>
      <c r="N2" s="570"/>
      <c r="O2" s="571"/>
      <c r="P2" s="3"/>
      <c r="Q2" s="572"/>
      <c r="R2" s="572"/>
    </row>
    <row r="3" spans="2:18" ht="7.15" customHeight="1" thickBot="1">
      <c r="L3" s="4"/>
      <c r="M3" s="4"/>
      <c r="N3" s="4"/>
      <c r="O3" s="4"/>
      <c r="P3" s="4"/>
      <c r="Q3" s="4"/>
      <c r="R3" s="4"/>
    </row>
    <row r="4" spans="2:18" ht="14.45" customHeight="1">
      <c r="B4" s="573" t="s">
        <v>2</v>
      </c>
      <c r="C4" s="574"/>
      <c r="D4" s="194" t="s">
        <v>3</v>
      </c>
      <c r="E4" s="195" t="s">
        <v>4</v>
      </c>
      <c r="F4" s="195" t="s">
        <v>5</v>
      </c>
      <c r="G4" s="195" t="s">
        <v>6</v>
      </c>
      <c r="H4" s="196" t="s">
        <v>7</v>
      </c>
      <c r="I4" s="205" t="s">
        <v>8</v>
      </c>
      <c r="J4" s="197" t="s">
        <v>9</v>
      </c>
      <c r="L4" s="204" t="s">
        <v>10</v>
      </c>
      <c r="M4" s="541" t="s">
        <v>11</v>
      </c>
      <c r="N4" s="540"/>
      <c r="O4" s="196" t="s">
        <v>12</v>
      </c>
      <c r="P4" s="541" t="s">
        <v>13</v>
      </c>
      <c r="Q4" s="540"/>
      <c r="R4" s="197" t="s">
        <v>14</v>
      </c>
    </row>
    <row r="5" spans="2:18" ht="14.45" customHeight="1" thickBot="1">
      <c r="B5" s="575"/>
      <c r="C5" s="576"/>
      <c r="D5" s="191">
        <v>1</v>
      </c>
      <c r="E5" s="187">
        <f>IF(D5&gt;50,"CHAR",VLOOKUP(B4,Stats!A2:G15,2,0))</f>
        <v>30</v>
      </c>
      <c r="F5" s="188">
        <f>IF(D5&gt;50,"LEVEL",VLOOKUP(B4,Stats!A2:G15,3,0))</f>
        <v>42</v>
      </c>
      <c r="G5" s="188">
        <f>IF(D5&gt;50,"OVER",VLOOKUP(B4,Stats!A2:G15,4,0))</f>
        <v>30</v>
      </c>
      <c r="H5" s="189">
        <f>IF(D5&gt;50,"LIMIT",VLOOKUP(B4,Stats!A2:G15,5,0))</f>
        <v>30</v>
      </c>
      <c r="I5" s="188">
        <f>VLOOKUP(B4,Stats!A2:G15,6,0)+VLOOKUP(D5,Stats!H398:J447,2,0)</f>
        <v>60</v>
      </c>
      <c r="J5" s="198">
        <f>VLOOKUP(B4,Stats!A2:G15,7,0)+VLOOKUP(D5,Stats!H398:J447,3,0)</f>
        <v>45</v>
      </c>
      <c r="L5" s="206">
        <f>VLOOKUP(B4,Stats!A1:L15,8,0)</f>
        <v>32</v>
      </c>
      <c r="M5" s="577">
        <f>VLOOKUP(B4,Stats!A1:L15,9,0)</f>
        <v>30</v>
      </c>
      <c r="N5" s="578"/>
      <c r="O5" s="207">
        <f>VLOOKUP(B4,Stats!A1:L15,10,0)</f>
        <v>36</v>
      </c>
      <c r="P5" s="577">
        <f>VLOOKUP(B4,Stats!A1:L15,11,0)</f>
        <v>6</v>
      </c>
      <c r="Q5" s="578"/>
      <c r="R5" s="208">
        <f>VLOOKUP(B4,Stats!A1:L15,12,0)</f>
        <v>12</v>
      </c>
    </row>
    <row r="6" spans="2:18" ht="7.15" customHeight="1" thickBot="1">
      <c r="B6" s="565" t="str">
        <f>IF(ISBLANK(HLOOKUP(B4,Equips!A1:N9,3,0)),"",HLOOKUP(B4,Equips!A1:N9,3,0))</f>
        <v>Unicorn</v>
      </c>
      <c r="C6" s="566"/>
      <c r="D6" s="552">
        <v>0</v>
      </c>
      <c r="E6" s="567" t="str">
        <f>IF(B6="","",IF(ISBLANK(VLOOKUP(B6,Stats!H371:N396,2,0)),"",VLOOKUP(B6,Stats!H371:N396,2,0)*D6))</f>
        <v/>
      </c>
      <c r="F6" s="567" t="str">
        <f>IF(B6="","",IF(ISBLANK(VLOOKUP(B6,Stats!H371:N396,3,0)),"",VLOOKUP(B6,Stats!H371:N396,3,0)*D6))</f>
        <v/>
      </c>
      <c r="G6" s="567" t="str">
        <f>IF(B6="","",IF(ISBLANK(VLOOKUP(B6,Stats!H371:N396,4,0)),"",VLOOKUP(B6,Stats!H371:N396,4,0)*D6))</f>
        <v/>
      </c>
      <c r="H6" s="568">
        <f>IF(B6="","",IF(ISBLANK(VLOOKUP(B6,Stats!H371:N396,5,0)),"",VLOOKUP(B6,Stats!H371:N396,5,0)*D6))</f>
        <v>0</v>
      </c>
      <c r="I6" s="555">
        <f>IF(B6="","",IF(ISBLANK(VLOOKUP(B6,Stats!H371:N396,6,0)),"",VLOOKUP(B6,Stats!H371:N396,6,0)*D6))</f>
        <v>0</v>
      </c>
      <c r="J6" s="557" t="str">
        <f>IF(B6="","",IF(ISBLANK(VLOOKUP(B6,Stats!H371:N396,7,0)),"",VLOOKUP(B6,Stats!H371:N396,7,0)*D6))</f>
        <v/>
      </c>
      <c r="M6" s="4"/>
    </row>
    <row r="7" spans="2:18" ht="7.15" customHeight="1">
      <c r="B7" s="550"/>
      <c r="C7" s="551"/>
      <c r="D7" s="552"/>
      <c r="E7" s="519"/>
      <c r="F7" s="519"/>
      <c r="G7" s="519"/>
      <c r="H7" s="553"/>
      <c r="I7" s="556"/>
      <c r="J7" s="547"/>
      <c r="L7" s="558" t="str">
        <f>IF(C21="-","Weapon",C21)</f>
        <v>Weapon</v>
      </c>
      <c r="M7" s="559"/>
      <c r="N7" s="562" t="str">
        <f>IF(ISBLANK(VLOOKUP(C21,Desc!A1:B214,2,0)),"",VLOOKUP(C21,Desc!A1:B214,2,0))</f>
        <v/>
      </c>
      <c r="O7" s="563"/>
      <c r="P7" s="563"/>
      <c r="Q7" s="563"/>
      <c r="R7" s="564"/>
    </row>
    <row r="8" spans="2:18" ht="8.65" customHeight="1">
      <c r="B8" s="550" t="str">
        <f>IF(ISBLANK(HLOOKUP(B4,Equips!A1:N9,4,0)),"",HLOOKUP(B4,Equips!A1:N9,4,0))</f>
        <v>Maduin</v>
      </c>
      <c r="C8" s="551"/>
      <c r="D8" s="552">
        <v>0</v>
      </c>
      <c r="E8" s="519" t="str">
        <f>IF(B8="","",IF(ISBLANK(VLOOKUP(B8,Stats!H371:N396,2,0)),"",VLOOKUP(B8,Stats!H371:N396,2,0)*D8))</f>
        <v/>
      </c>
      <c r="F8" s="548">
        <f>IF(B8="","",IF(ISBLANK(VLOOKUP(B8,Stats!H371:N396,3,0)),"",VLOOKUP(B8,Stats!H371:N396,3,0)*D8))</f>
        <v>0</v>
      </c>
      <c r="G8" s="519" t="str">
        <f>IF(B8="","",IF(ISBLANK(VLOOKUP(B8,Stats!H371:N396,4,0)),"",VLOOKUP(B8,Stats!H371:N396,4,0)*D8))</f>
        <v/>
      </c>
      <c r="H8" s="553">
        <f>IF(B8="","",IF(ISBLANK(VLOOKUP(B8,Stats!H371:N396,5,0)),"",VLOOKUP(B8,Stats!H371:N396,5,0)*D8))</f>
        <v>0</v>
      </c>
      <c r="I8" s="518" t="str">
        <f>IF(B8="","",IF(ISBLANK(VLOOKUP(B8,Stats!H371:N396,6,0)),"",VLOOKUP(B8,Stats!H371:N396,6,0)*D8))</f>
        <v/>
      </c>
      <c r="J8" s="547" t="str">
        <f>IF(B8="","",IF(ISBLANK(VLOOKUP(B8,Stats!H371:N396,7,0)),"",VLOOKUP(B8,Stats!H371:N396,7,0)*D8))</f>
        <v/>
      </c>
      <c r="L8" s="560"/>
      <c r="M8" s="561"/>
      <c r="N8" s="544"/>
      <c r="O8" s="545"/>
      <c r="P8" s="545"/>
      <c r="Q8" s="545"/>
      <c r="R8" s="546"/>
    </row>
    <row r="9" spans="2:18" ht="5.85" customHeight="1">
      <c r="B9" s="550"/>
      <c r="C9" s="551"/>
      <c r="D9" s="552"/>
      <c r="E9" s="519"/>
      <c r="F9" s="548"/>
      <c r="G9" s="519"/>
      <c r="H9" s="553"/>
      <c r="I9" s="518"/>
      <c r="J9" s="547"/>
      <c r="L9" s="542" t="str">
        <f>IF(C22="-","Off Hand",C22)</f>
        <v>Off Hand</v>
      </c>
      <c r="M9" s="543"/>
      <c r="N9" s="544" t="str">
        <f>IF(ISBLANK(VLOOKUP(C22,Desc!A1:B214,2,0)),"",VLOOKUP(C22,Desc!A1:B214,2,0))</f>
        <v/>
      </c>
      <c r="O9" s="545"/>
      <c r="P9" s="545"/>
      <c r="Q9" s="545"/>
      <c r="R9" s="546"/>
    </row>
    <row r="10" spans="2:18" ht="10.15" customHeight="1">
      <c r="B10" s="550" t="str">
        <f>IF(ISBLANK(HLOOKUP(B4,Equips!A1:N9,5,0)),"",HLOOKUP(B4,Equips!A1:N9,5,0))</f>
        <v>Carbunkl</v>
      </c>
      <c r="C10" s="551"/>
      <c r="D10" s="552">
        <v>0</v>
      </c>
      <c r="E10" s="519" t="str">
        <f>IF(B10="","",IF(ISBLANK(VLOOKUP(B10,Stats!H371:N396,2,0)),"",VLOOKUP(B10,Stats!H371:N396,2,0)*D10))</f>
        <v/>
      </c>
      <c r="F10" s="519" t="str">
        <f>IF(B10="","",IF(ISBLANK(VLOOKUP(B10,Stats!H371:N396,3,0)),"",VLOOKUP(B10,Stats!H371:N396,3,0)*D10))</f>
        <v/>
      </c>
      <c r="G10" s="519" t="str">
        <f>IF(B10="","",IF(ISBLANK(VLOOKUP(B10,Stats!H371:N396,4,0)),"",VLOOKUP(B10,Stats!H371:N396,4,0)*D10))</f>
        <v/>
      </c>
      <c r="H10" s="553">
        <f>IF(B10="","",IF(ISBLANK(VLOOKUP(B10,Stats!H371:N396,5,0)),"",VLOOKUP(B10,Stats!H371:N396,5,0)*D10))</f>
        <v>0</v>
      </c>
      <c r="I10" s="518" t="str">
        <f>IF(B10="","",IF(ISBLANK(VLOOKUP(B10,Stats!H371:N396,6,0)),"",VLOOKUP(B10,Stats!H371:N396,6,0)*D10))</f>
        <v/>
      </c>
      <c r="J10" s="554">
        <f>IF(B10="","",IF(ISBLANK(VLOOKUP(B10,Stats!H371:N396,7,0)),"",VLOOKUP(B10,Stats!H371:N396,7,0)*D10))</f>
        <v>0</v>
      </c>
      <c r="L10" s="542"/>
      <c r="M10" s="543"/>
      <c r="N10" s="544"/>
      <c r="O10" s="545"/>
      <c r="P10" s="545"/>
      <c r="Q10" s="545"/>
      <c r="R10" s="546"/>
    </row>
    <row r="11" spans="2:18" ht="4.3499999999999996" customHeight="1">
      <c r="B11" s="550"/>
      <c r="C11" s="551"/>
      <c r="D11" s="552"/>
      <c r="E11" s="519"/>
      <c r="F11" s="519"/>
      <c r="G11" s="519"/>
      <c r="H11" s="553"/>
      <c r="I11" s="518"/>
      <c r="J11" s="554"/>
      <c r="L11" s="542" t="str">
        <f>IF(C23="-","Helmet",C23)</f>
        <v>Helmet</v>
      </c>
      <c r="M11" s="543"/>
      <c r="N11" s="544" t="str">
        <f>IF(ISBLANK(VLOOKUP(C23,Desc!A1:B214,2,0)),"",VLOOKUP(C23,Desc!A1:B214,2,0))</f>
        <v/>
      </c>
      <c r="O11" s="545"/>
      <c r="P11" s="545"/>
      <c r="Q11" s="545"/>
      <c r="R11" s="546"/>
    </row>
    <row r="12" spans="2:18" ht="11.45" customHeight="1">
      <c r="B12" s="550" t="str">
        <f>IF(ISBLANK(HLOOKUP(B4,Equips!A1:N9,6,0)),"",HLOOKUP(B4,Equips!A1:N9,6,0))</f>
        <v>Bismark</v>
      </c>
      <c r="C12" s="551"/>
      <c r="D12" s="552">
        <v>0</v>
      </c>
      <c r="E12" s="548">
        <f>IF(B12="","",IF(ISBLANK(VLOOKUP(B12,Stats!H371:N396,2,0)),"",VLOOKUP(B12,Stats!H371:N396,2,0)*D12))</f>
        <v>0</v>
      </c>
      <c r="F12" s="519" t="str">
        <f>IF(B12="","",IF(ISBLANK(VLOOKUP(B12,Stats!H371:N396,3,0)),"",VLOOKUP(B12,Stats!H371:N396,3,0)*D12))</f>
        <v/>
      </c>
      <c r="G12" s="519" t="str">
        <f>IF(B12="","",IF(ISBLANK(VLOOKUP(B12,Stats!H371:N396,4,0)),"",VLOOKUP(B12,Stats!H371:N396,4,0)*D12))</f>
        <v/>
      </c>
      <c r="H12" s="549" t="str">
        <f>IF(B12="","",IF(ISBLANK(VLOOKUP(B12,Stats!H371:N396,5,0)),"",VLOOKUP(B12,Stats!H371:N396,5,0)*D12))</f>
        <v/>
      </c>
      <c r="I12" s="518" t="str">
        <f>IF(B12="","",IF(ISBLANK(VLOOKUP(B12,Stats!H371:N396,6,0)),"",VLOOKUP(B12,Stats!H371:N396,6,0)*D12))</f>
        <v/>
      </c>
      <c r="J12" s="547" t="str">
        <f>IF(B12="","",IF(ISBLANK(VLOOKUP(B12,Stats!H371:N396,7,0)),"",VLOOKUP(B12,Stats!H371:N396,7,0)*D12))</f>
        <v/>
      </c>
      <c r="L12" s="542"/>
      <c r="M12" s="543"/>
      <c r="N12" s="544"/>
      <c r="O12" s="545"/>
      <c r="P12" s="545"/>
      <c r="Q12" s="545"/>
      <c r="R12" s="546"/>
    </row>
    <row r="13" spans="2:18" ht="2.85" customHeight="1">
      <c r="B13" s="550"/>
      <c r="C13" s="551"/>
      <c r="D13" s="552"/>
      <c r="E13" s="548"/>
      <c r="F13" s="519"/>
      <c r="G13" s="519"/>
      <c r="H13" s="549"/>
      <c r="I13" s="518"/>
      <c r="J13" s="547"/>
      <c r="L13" s="542" t="str">
        <f>IF(C24="-","Armor",C24)</f>
        <v>Armor</v>
      </c>
      <c r="M13" s="543"/>
      <c r="N13" s="544" t="str">
        <f>IF(ISBLANK(VLOOKUP(C24,Desc!A1:B214,2,0)),"",VLOOKUP(C24,Desc!A1:B214,2,0))</f>
        <v/>
      </c>
      <c r="O13" s="545"/>
      <c r="P13" s="545"/>
      <c r="Q13" s="545"/>
      <c r="R13" s="546"/>
    </row>
    <row r="14" spans="2:18" ht="12.95" customHeight="1">
      <c r="B14" s="550" t="str">
        <f>IF(ISBLANK(HLOOKUP(B4,Equips!A1:N9,7,0)),"",HLOOKUP(B4,Equips!A1:N9,7,0))</f>
        <v>Tritoch</v>
      </c>
      <c r="C14" s="551"/>
      <c r="D14" s="552">
        <v>0</v>
      </c>
      <c r="E14" s="519" t="str">
        <f>IF(B14="","",IF(ISBLANK(VLOOKUP(B14,Stats!H371:N396,2,0)),"",VLOOKUP(B14,Stats!H371:N396,2,0)*D14))</f>
        <v/>
      </c>
      <c r="F14" s="519" t="str">
        <f>IF(B14="","",IF(ISBLANK(VLOOKUP(B14,Stats!H371:N396,3,0)),"",VLOOKUP(B14,Stats!H371:N396,3,0)*D14))</f>
        <v/>
      </c>
      <c r="G14" s="519" t="str">
        <f>IF(B14="","",IF(ISBLANK(VLOOKUP(B14,Stats!H371:N396,4,0)),"",VLOOKUP(B14,Stats!H371:N396,4,0)*D14))</f>
        <v/>
      </c>
      <c r="H14" s="553">
        <f>IF(B14="","",IF(ISBLANK(VLOOKUP(B14,Stats!H371:N396,5,0)),"",VLOOKUP(B14,Stats!H371:N396,5,0)*D14))</f>
        <v>0</v>
      </c>
      <c r="I14" s="518" t="str">
        <f>IF(B14="","",IF(ISBLANK(VLOOKUP(B14,Stats!H371:N396,6,0)),"",VLOOKUP(B14,Stats!H371:N396,6,0)*D14))</f>
        <v/>
      </c>
      <c r="J14" s="547" t="str">
        <f>IF(B14="","",IF(ISBLANK(VLOOKUP(B14,Stats!H371:N396,7,0)),"",VLOOKUP(B14,Stats!H371:N396,7,0)*D14))</f>
        <v/>
      </c>
      <c r="L14" s="542"/>
      <c r="M14" s="543"/>
      <c r="N14" s="544"/>
      <c r="O14" s="545"/>
      <c r="P14" s="545"/>
      <c r="Q14" s="545"/>
      <c r="R14" s="546"/>
    </row>
    <row r="15" spans="2:18" ht="1.35" customHeight="1">
      <c r="B15" s="550"/>
      <c r="C15" s="551"/>
      <c r="D15" s="552"/>
      <c r="E15" s="519"/>
      <c r="F15" s="519"/>
      <c r="G15" s="519"/>
      <c r="H15" s="553"/>
      <c r="I15" s="518"/>
      <c r="J15" s="547"/>
      <c r="L15" s="542" t="str">
        <f>IF(C25="-","Relic",C25)</f>
        <v>Relic</v>
      </c>
      <c r="M15" s="543"/>
      <c r="N15" s="544" t="str">
        <f>IF(ISBLANK(VLOOKUP(C25,Desc!A1:B214,2,0)),"",VLOOKUP(C25,Desc!A1:B214,2,0))</f>
        <v/>
      </c>
      <c r="O15" s="545"/>
      <c r="P15" s="545"/>
      <c r="Q15" s="545"/>
      <c r="R15" s="546"/>
    </row>
    <row r="16" spans="2:18" ht="14.45" customHeight="1">
      <c r="B16" s="550" t="str">
        <f>IF(ISBLANK(HLOOKUP(B4,Equips!A1:N9,8,0)),"",HLOOKUP(B4,Equips!A1:N9,8,0))</f>
        <v>Phoenix</v>
      </c>
      <c r="C16" s="551"/>
      <c r="D16" s="192">
        <v>0</v>
      </c>
      <c r="E16" s="233" t="str">
        <f>IF(B16="","",IF(ISBLANK(VLOOKUP(B16,Stats!H371:N396,2,0)),"",VLOOKUP(B16,Stats!H371:N396,2,0)*D16))</f>
        <v/>
      </c>
      <c r="F16" s="233" t="str">
        <f>IF(B16="","",IF(ISBLANK(VLOOKUP(B16,Stats!H371:N396,3,0)),"",VLOOKUP(B16,Stats!H371:N396,3,0)*D16))</f>
        <v/>
      </c>
      <c r="G16" s="233" t="str">
        <f>IF(B16="","",IF(ISBLANK(VLOOKUP(B16,Stats!H371:N396,4,0)),"",VLOOKUP(B16,Stats!H371:N396,4,0)*D16))</f>
        <v/>
      </c>
      <c r="H16" s="234" t="str">
        <f>IF(B16="","",IF(ISBLANK(VLOOKUP(B16,Stats!H371:N396,5,0)),"",VLOOKUP(B16,Stats!H371:N396,5,0)*D16))</f>
        <v/>
      </c>
      <c r="I16" s="190">
        <f>IF(B16="","",IF(ISBLANK(VLOOKUP(B16,Stats!H371:N396,6,0)),"",VLOOKUP(B16,Stats!H371:N396,6,0)*D16))</f>
        <v>0</v>
      </c>
      <c r="J16" s="199">
        <f>IF(B16="","",IF(ISBLANK(VLOOKUP(B16,Stats!H371:N396,7,0)),"",VLOOKUP(B16,Stats!H371:N396,7,0)*D16))</f>
        <v>0</v>
      </c>
      <c r="L16" s="542"/>
      <c r="M16" s="543"/>
      <c r="N16" s="544"/>
      <c r="O16" s="545"/>
      <c r="P16" s="545"/>
      <c r="Q16" s="545"/>
      <c r="R16" s="546"/>
    </row>
    <row r="17" spans="2:18" ht="14.45" customHeight="1">
      <c r="B17" s="550" t="str">
        <f>IF(ISBLANK(HLOOKUP(B4,Equips!A1:N9,9,0)),"",HLOOKUP(B4,Equips!A1:N9,9,0))</f>
        <v>Ragnarok</v>
      </c>
      <c r="C17" s="551"/>
      <c r="D17" s="192">
        <v>0</v>
      </c>
      <c r="E17" s="233" t="str">
        <f>IF(B17="","",IF(ISBLANK(VLOOKUP(B17,Stats!H371:N396,2,0)),"",VLOOKUP(B17,Stats!H371:N396,2,0)*D17))</f>
        <v/>
      </c>
      <c r="F17" s="233" t="str">
        <f>IF(B17="","",IF(ISBLANK(VLOOKUP(B17,Stats!H371:N396,3,0)),"",VLOOKUP(B17,Stats!H371:N396,3,0)*D17))</f>
        <v/>
      </c>
      <c r="G17" s="233" t="str">
        <f>IF(B17="","",IF(ISBLANK(VLOOKUP(B17,Stats!H371:N396,4,0)),"",VLOOKUP(B17,Stats!H371:N396,4,0)*D17))</f>
        <v/>
      </c>
      <c r="H17" s="234" t="str">
        <f>IF(B17="","",IF(ISBLANK(VLOOKUP(B17,Stats!H371:N396,5,0)),"",VLOOKUP(B17,Stats!H371:N396,5,0)*D17))</f>
        <v/>
      </c>
      <c r="I17" s="235" t="str">
        <f>IF(B17="","",IF(ISBLANK(VLOOKUP(B17,Stats!H371:N396,6,0)),"",VLOOKUP(B17,Stats!H371:N396,6,0)*D17))</f>
        <v/>
      </c>
      <c r="J17" s="199">
        <f>IF(B17="","",IF(ISBLANK(VLOOKUP(B17,Stats!H371:N396,7,0)),"",VLOOKUP(B17,Stats!H371:N396,7,0)*D17))</f>
        <v>0</v>
      </c>
      <c r="L17" s="542" t="str">
        <f>IF(C26="-","Relic",C26)</f>
        <v>Relic</v>
      </c>
      <c r="M17" s="543"/>
      <c r="N17" s="544" t="str">
        <f>IF(ISBLANK(VLOOKUP(C26,Desc!A1:B214,2,0)),"",VLOOKUP(C26,Desc!A1:B214,2,0))</f>
        <v/>
      </c>
      <c r="O17" s="545"/>
      <c r="P17" s="545"/>
      <c r="Q17" s="545"/>
      <c r="R17" s="546"/>
    </row>
    <row r="18" spans="2:18" ht="14.45" customHeight="1" thickBot="1">
      <c r="B18" s="520" t="s">
        <v>22</v>
      </c>
      <c r="C18" s="532"/>
      <c r="D18" s="200">
        <f>SUM(D6:D17)</f>
        <v>0</v>
      </c>
      <c r="E18" s="201">
        <f>IF(D18&gt;25,"ESPER",SUM(E5:E17))</f>
        <v>30</v>
      </c>
      <c r="F18" s="201">
        <f>IF(D18&gt;25,"LEVEL",SUM(F5:F17))</f>
        <v>42</v>
      </c>
      <c r="G18" s="201">
        <f>IF(D18&gt;25,"OVER",SUM(G5:G17))</f>
        <v>30</v>
      </c>
      <c r="H18" s="202">
        <f>IF(D18&gt;25,"LIMIT",SUM(H5:H17))</f>
        <v>30</v>
      </c>
      <c r="I18" s="221">
        <f>IF(D18&gt;25,"###",SUM(I5:I17))</f>
        <v>60</v>
      </c>
      <c r="J18" s="203">
        <f>IF(D18&gt;25,"###",SUM(J5:J17))</f>
        <v>45</v>
      </c>
      <c r="L18" s="533" t="str">
        <f>IF(C27="-","Esper",C27)</f>
        <v>Esper</v>
      </c>
      <c r="M18" s="534"/>
      <c r="N18" s="535" t="str">
        <f>IF(ISBLANK(VLOOKUP(C27,Desc!A1:B214,2,0)),"",VLOOKUP(C27,Desc!A1:B214,2,0))</f>
        <v/>
      </c>
      <c r="O18" s="536"/>
      <c r="P18" s="536"/>
      <c r="Q18" s="536"/>
      <c r="R18" s="537"/>
    </row>
    <row r="19" spans="2:18" ht="7.15" customHeight="1" thickBot="1"/>
    <row r="20" spans="2:18" ht="14.45" customHeight="1">
      <c r="B20" s="538" t="s">
        <v>23</v>
      </c>
      <c r="C20" s="539"/>
      <c r="D20" s="540"/>
      <c r="E20" s="205" t="s">
        <v>4</v>
      </c>
      <c r="F20" s="195" t="s">
        <v>5</v>
      </c>
      <c r="G20" s="195" t="s">
        <v>6</v>
      </c>
      <c r="H20" s="196" t="s">
        <v>7</v>
      </c>
      <c r="I20" s="205" t="s">
        <v>8</v>
      </c>
      <c r="J20" s="197" t="s">
        <v>9</v>
      </c>
      <c r="L20" s="204" t="s">
        <v>10</v>
      </c>
      <c r="M20" s="541" t="s">
        <v>11</v>
      </c>
      <c r="N20" s="540"/>
      <c r="O20" s="196" t="s">
        <v>12</v>
      </c>
      <c r="P20" s="541" t="s">
        <v>13</v>
      </c>
      <c r="Q20" s="540"/>
      <c r="R20" s="197" t="s">
        <v>14</v>
      </c>
    </row>
    <row r="21" spans="2:18" ht="14.45" customHeight="1">
      <c r="B21" s="209" t="s">
        <v>24</v>
      </c>
      <c r="C21" s="528" t="s">
        <v>25</v>
      </c>
      <c r="D21" s="529"/>
      <c r="E21" s="235" t="str">
        <f>IF(ISBLANK(VLOOKUP(C21,Stats!A17:L244,2,0)),"",VLOOKUP(C21,Stats!A17:L244,2,0))</f>
        <v/>
      </c>
      <c r="F21" s="233" t="str">
        <f>IF(ISBLANK(VLOOKUP(C21,Stats!A17:L244,3,0)),"",VLOOKUP(C21,Stats!A17:L244,3,0))</f>
        <v/>
      </c>
      <c r="G21" s="233" t="str">
        <f>IF(ISBLANK(VLOOKUP(C21,Stats!A17:L244,4,0)),"",VLOOKUP(C21,Stats!A17:L244,4,0))</f>
        <v/>
      </c>
      <c r="H21" s="234" t="str">
        <f>IF(ISBLANK(VLOOKUP(C21,Stats!A17:L244,5,0)),"",VLOOKUP(C21,Stats!A17:L244,5,0))</f>
        <v/>
      </c>
      <c r="I21" s="504" t="str">
        <f>IF(ISBLANK(VLOOKUP(C21,Stats!A17:L244,6,0)),"",VLOOKUP(C21,Stats!A17:L244,6,0))</f>
        <v/>
      </c>
      <c r="J21" s="505" t="str">
        <f>IF(ISBLANK(VLOOKUP(C21,Stats!A17:L244,7,0)),"",VLOOKUP(C21,Stats!A17:L244,7,0))</f>
        <v/>
      </c>
      <c r="L21" s="215">
        <f>IF(ISBLANK(VLOOKUP(C21,Stats!A17:L244,8,0)),0,VLOOKUP(C21,Stats!A17:L244,8,0))</f>
        <v>0</v>
      </c>
      <c r="M21" s="530"/>
      <c r="N21" s="531"/>
      <c r="O21" s="193"/>
      <c r="P21" s="519" t="str">
        <f>IF(ISBLANK(VLOOKUP(C21,Stats!A17:L244,11,0)),"",VLOOKUP(C21,Stats!A17:L244,11,0))</f>
        <v/>
      </c>
      <c r="Q21" s="519"/>
      <c r="R21" s="236" t="str">
        <f>IF(ISBLANK(VLOOKUP(C21,Stats!A17:L244,12,0)),"",VLOOKUP(C21,Stats!A17:L244,12,0))</f>
        <v/>
      </c>
    </row>
    <row r="22" spans="2:18" ht="14.45" customHeight="1">
      <c r="B22" s="210" t="s">
        <v>26</v>
      </c>
      <c r="C22" s="525" t="s">
        <v>25</v>
      </c>
      <c r="D22" s="526"/>
      <c r="E22" s="235" t="str">
        <f>IF(ISBLANK(VLOOKUP(C22,Stats!A17:L244,2,0)),"",VLOOKUP(C22,Stats!A17:L244,2,0))</f>
        <v/>
      </c>
      <c r="F22" s="233" t="str">
        <f>IF(ISBLANK(VLOOKUP(C22,Stats!A17:L244,3,0)),"",VLOOKUP(C22,Stats!A17:L244,3,0))</f>
        <v/>
      </c>
      <c r="G22" s="233" t="str">
        <f>IF(ISBLANK(VLOOKUP(C22,Stats!A17:L244,4,0)),"",VLOOKUP(C22,Stats!A17:L244,4,0))</f>
        <v/>
      </c>
      <c r="H22" s="234" t="str">
        <f>IF(ISBLANK(VLOOKUP(C22,Stats!A17:L244,5,0)),"",VLOOKUP(C22,Stats!A17:L244,5,0))</f>
        <v/>
      </c>
      <c r="I22" s="504" t="str">
        <f>IF(ISBLANK(VLOOKUP(C22,Stats!A17:L244,6,0)),"",VLOOKUP(C22,Stats!A17:L244,6,0))</f>
        <v/>
      </c>
      <c r="J22" s="505" t="str">
        <f>IF(ISBLANK(VLOOKUP(C22,Stats!A17:L244,7,0)),"",VLOOKUP(C22,Stats!A17:L244,7,0))</f>
        <v/>
      </c>
      <c r="L22" s="216">
        <f>IF(AND(VLOOKUP(C21,Stats!A17:N111,10,0)=1,VLOOKUP(C22,Stats!A17:L244,8,0)&gt;0),"(!SPEAR)",IF(OR(ISBLANK(VLOOKUP(C22,Stats!A17:L244,8,0)),C25="Dragoon Seal",C26="Dragoon Seal"),0,VLOOKUP(C22,Stats!A17:L244,8,0)))</f>
        <v>0</v>
      </c>
      <c r="M22" s="518" t="str">
        <f>IF(ISBLANK(VLOOKUP(C22,Stats!A17:L244,9,0)),"",VLOOKUP(C22,Stats!A17:L244,9,0))</f>
        <v/>
      </c>
      <c r="N22" s="519"/>
      <c r="O22" s="234" t="str">
        <f>IF(ISBLANK(VLOOKUP(C22,Stats!A17:L244,10,0)),"",VLOOKUP(C22,Stats!A17:L244,10,0))</f>
        <v/>
      </c>
      <c r="P22" s="518" t="str">
        <f>IF(ISBLANK(VLOOKUP(C22,Stats!A17:L244,11,0)),"",VLOOKUP(C22,Stats!A17:L244,11,0))</f>
        <v/>
      </c>
      <c r="Q22" s="519"/>
      <c r="R22" s="236" t="str">
        <f>IF(ISBLANK(VLOOKUP(C22,Stats!A17:L244,12,0)),"",VLOOKUP(C22,Stats!A17:L244,12,0))</f>
        <v/>
      </c>
    </row>
    <row r="23" spans="2:18" ht="14.45" customHeight="1">
      <c r="B23" s="210" t="s">
        <v>27</v>
      </c>
      <c r="C23" s="525" t="s">
        <v>25</v>
      </c>
      <c r="D23" s="526"/>
      <c r="E23" s="235" t="str">
        <f>IF(ISBLANK(VLOOKUP(C23,Stats!A17:L244,2,0)),"",VLOOKUP(C23,Stats!A17:L244,2,0))</f>
        <v/>
      </c>
      <c r="F23" s="233" t="str">
        <f>IF(ISBLANK(VLOOKUP(C23,Stats!A17:L244,3,0)),"",VLOOKUP(C23,Stats!A17:L244,3,0))</f>
        <v/>
      </c>
      <c r="G23" s="233" t="str">
        <f>IF(ISBLANK(VLOOKUP(C23,Stats!A17:L244,4,0)),"",VLOOKUP(C23,Stats!A17:L244,4,0))</f>
        <v/>
      </c>
      <c r="H23" s="234" t="str">
        <f>IF(ISBLANK(VLOOKUP(C23,Stats!A17:L244,5,0)),"",VLOOKUP(C23,Stats!A17:L244,5,0))</f>
        <v/>
      </c>
      <c r="I23" s="504" t="str">
        <f>IF(ISBLANK(VLOOKUP(C23,Stats!A17:L244,6,0)),"",VLOOKUP(C23,Stats!A17:L244,6,0))</f>
        <v/>
      </c>
      <c r="J23" s="505" t="str">
        <f>IF(ISBLANK(VLOOKUP(C23,Stats!A17:L244,7,0)),"",VLOOKUP(C23,Stats!A17:L244,7,0))</f>
        <v/>
      </c>
      <c r="L23" s="217"/>
      <c r="M23" s="518" t="str">
        <f>IF(ISBLANK(VLOOKUP(C23,Stats!A17:L244,9,0)),"",VLOOKUP(C23,Stats!A17:L244,9,0))</f>
        <v/>
      </c>
      <c r="N23" s="519"/>
      <c r="O23" s="234" t="str">
        <f>IF(ISBLANK(VLOOKUP(C23,Stats!A17:L244,10,0)),"",VLOOKUP(C23,Stats!A17:L244,10,0))</f>
        <v/>
      </c>
      <c r="P23" s="518" t="str">
        <f>IF(ISBLANK(VLOOKUP(C23,Stats!A17:L244,11,0)),"",VLOOKUP(C23,Stats!A17:L244,11,0))</f>
        <v/>
      </c>
      <c r="Q23" s="519"/>
      <c r="R23" s="236" t="str">
        <f>IF(ISBLANK(VLOOKUP(C23,Stats!A17:L244,12,0)),"",VLOOKUP(C23,Stats!A17:L244,12,0))</f>
        <v/>
      </c>
    </row>
    <row r="24" spans="2:18" ht="14.45" customHeight="1">
      <c r="B24" s="210" t="s">
        <v>28</v>
      </c>
      <c r="C24" s="525" t="s">
        <v>25</v>
      </c>
      <c r="D24" s="526"/>
      <c r="E24" s="235" t="str">
        <f>IF(ISBLANK(VLOOKUP(C24,Stats!A17:L244,2,0)),"",VLOOKUP(C24,Stats!A17:L244,2,0))</f>
        <v/>
      </c>
      <c r="F24" s="233" t="str">
        <f>IF(ISBLANK(VLOOKUP(C24,Stats!A17:L244,3,0)),"",VLOOKUP(C24,Stats!A17:L244,3,0))</f>
        <v/>
      </c>
      <c r="G24" s="233" t="str">
        <f>IF(ISBLANK(VLOOKUP(C24,Stats!A17:L244,4,0)),"",VLOOKUP(C24,Stats!A17:L244,4,0))</f>
        <v/>
      </c>
      <c r="H24" s="234" t="str">
        <f>IF(ISBLANK(VLOOKUP(C24,Stats!A17:L244,5,0)),"",VLOOKUP(C24,Stats!A17:L244,5,0))</f>
        <v/>
      </c>
      <c r="I24" s="504" t="str">
        <f>IF(ISBLANK(VLOOKUP(C24,Stats!A17:L244,6,0)),"",VLOOKUP(C24,Stats!A17:L244,6,0))</f>
        <v/>
      </c>
      <c r="J24" s="505" t="str">
        <f>IF(ISBLANK(VLOOKUP(C24,Stats!A17:L244,7,0)),"",VLOOKUP(C24,Stats!A17:L244,7,0))</f>
        <v/>
      </c>
      <c r="L24" s="218"/>
      <c r="M24" s="518" t="str">
        <f>IF(ISBLANK(VLOOKUP(C24,Stats!A17:L244,9,0)),"",VLOOKUP(C24,Stats!A17:L244,9,0))</f>
        <v/>
      </c>
      <c r="N24" s="519"/>
      <c r="O24" s="234" t="str">
        <f>IF(ISBLANK(VLOOKUP(C24,Stats!A17:L244,10,0)),"",VLOOKUP(C24,Stats!A17:L244,10,0))</f>
        <v/>
      </c>
      <c r="P24" s="518" t="str">
        <f>IF(ISBLANK(VLOOKUP(C24,Stats!A17:L244,11,0)),"",VLOOKUP(C24,Stats!A17:L244,11,0))</f>
        <v/>
      </c>
      <c r="Q24" s="519"/>
      <c r="R24" s="236" t="str">
        <f>IF(ISBLANK(VLOOKUP(C24,Stats!A17:L244,12,0)),"",VLOOKUP(C24,Stats!A17:L244,12,0))</f>
        <v/>
      </c>
    </row>
    <row r="25" spans="2:18" ht="14.45" customHeight="1">
      <c r="B25" s="210" t="s">
        <v>29</v>
      </c>
      <c r="C25" s="525" t="s">
        <v>25</v>
      </c>
      <c r="D25" s="526"/>
      <c r="E25" s="235" t="str">
        <f>IF(ISBLANK(VLOOKUP(C25,Stats!A17:L244,2,0)),"",VLOOKUP(C25,Stats!A17:L244,2,0))</f>
        <v/>
      </c>
      <c r="F25" s="233" t="str">
        <f>IF(ISBLANK(VLOOKUP(C25,Stats!A17:L244,3,0)),"",VLOOKUP(C25,Stats!A17:L244,3,0))</f>
        <v/>
      </c>
      <c r="G25" s="233" t="str">
        <f>IF(ISBLANK(VLOOKUP(C25,Stats!A17:L244,4,0)),"",VLOOKUP(C25,Stats!A17:L244,4,0))</f>
        <v/>
      </c>
      <c r="H25" s="234" t="str">
        <f>IF(ISBLANK(VLOOKUP(C25,Stats!A17:L244,5,0)),"",VLOOKUP(C25,Stats!A17:L244,5,0))</f>
        <v/>
      </c>
      <c r="I25" s="504" t="str">
        <f>IF(ISBLANK(VLOOKUP(C25,Stats!A17:L244,6,0)),"",VLOOKUP(C25,Stats!A17:L244,6,0))</f>
        <v/>
      </c>
      <c r="J25" s="505" t="str">
        <f>IF(ISBLANK(VLOOKUP(C25,Stats!A17:L244,7,0)),"",VLOOKUP(C25,Stats!A17:L244,7,0))</f>
        <v/>
      </c>
      <c r="L25" s="218"/>
      <c r="M25" s="518" t="str">
        <f>IF(ISBLANK(VLOOKUP(C25,Stats!A17:L244,9,0)),"",VLOOKUP(C25,Stats!A17:L244,9,0))</f>
        <v/>
      </c>
      <c r="N25" s="519"/>
      <c r="O25" s="234" t="str">
        <f>IF(ISBLANK(VLOOKUP(C25,Stats!A17:L244,10,0)),"",VLOOKUP(C25,Stats!A17:L244,10,0))</f>
        <v/>
      </c>
      <c r="P25" s="518" t="str">
        <f>IF(ISBLANK(VLOOKUP(C25,Stats!A17:L244,11,0)),"",VLOOKUP(C25,Stats!A17:L244,11,0))</f>
        <v/>
      </c>
      <c r="Q25" s="519"/>
      <c r="R25" s="236" t="str">
        <f>IF(ISBLANK(VLOOKUP(C25,Stats!A17:L244,12,0)),"",VLOOKUP(C25,Stats!A17:L244,12,0))</f>
        <v/>
      </c>
    </row>
    <row r="26" spans="2:18" ht="14.45" customHeight="1">
      <c r="B26" s="210" t="s">
        <v>29</v>
      </c>
      <c r="C26" s="527" t="s">
        <v>25</v>
      </c>
      <c r="D26" s="526"/>
      <c r="E26" s="235" t="str">
        <f>IF(ISBLANK(VLOOKUP(C26,Stats!A17:L244,2,0)),"",VLOOKUP(C26,Stats!A17:L244,2,0))</f>
        <v/>
      </c>
      <c r="F26" s="233" t="str">
        <f>IF(ISBLANK(VLOOKUP(C26,Stats!A17:L244,3,0)),"",VLOOKUP(C26,Stats!A17:L244,3,0))</f>
        <v/>
      </c>
      <c r="G26" s="233" t="str">
        <f>IF(ISBLANK(VLOOKUP(C26,Stats!A17:L244,4,0)),"",VLOOKUP(C26,Stats!A17:L244,4,0))</f>
        <v/>
      </c>
      <c r="H26" s="234" t="str">
        <f>IF(ISBLANK(VLOOKUP(C26,Stats!A17:L244,5,0)),"",VLOOKUP(C26,Stats!A17:L244,5,0))</f>
        <v/>
      </c>
      <c r="I26" s="504" t="str">
        <f>IF(ISBLANK(VLOOKUP(C26,Stats!A17:L244,6,0)),"",VLOOKUP(C26,Stats!A17:L244,6,0))</f>
        <v/>
      </c>
      <c r="J26" s="505" t="str">
        <f>IF(ISBLANK(VLOOKUP(C26,Stats!A17:L244,7,0)),"",VLOOKUP(C26,Stats!A17:L244,7,0))</f>
        <v/>
      </c>
      <c r="L26" s="218"/>
      <c r="M26" s="518" t="str">
        <f>IF(ISBLANK(VLOOKUP(C26,Stats!A17:L244,9,0)),"",VLOOKUP(C26,Stats!A17:L244,9,0))</f>
        <v/>
      </c>
      <c r="N26" s="519"/>
      <c r="O26" s="234" t="str">
        <f>IF(ISBLANK(VLOOKUP(C26,Stats!A17:L244,10,0)),"",VLOOKUP(C26,Stats!A17:L244,10,0))</f>
        <v/>
      </c>
      <c r="P26" s="518" t="str">
        <f>IF(ISBLANK(VLOOKUP(C26,Stats!A17:L244,11,0)),"",VLOOKUP(C26,Stats!A17:L244,11,0))</f>
        <v/>
      </c>
      <c r="Q26" s="519"/>
      <c r="R26" s="236" t="str">
        <f>IF(ISBLANK(VLOOKUP(C26,Stats!A17:L244,12,0)),"",VLOOKUP(C26,Stats!A17:L244,12,0))</f>
        <v/>
      </c>
    </row>
    <row r="27" spans="2:18" ht="14.45" customHeight="1">
      <c r="B27" s="211" t="s">
        <v>30</v>
      </c>
      <c r="C27" s="516" t="s">
        <v>25</v>
      </c>
      <c r="D27" s="517"/>
      <c r="E27" s="235" t="str">
        <f>IF(ISBLANK(VLOOKUP(C27,Stats!A17:L244,2,0)),"",VLOOKUP(C27,Stats!A17:L244,2,0))</f>
        <v/>
      </c>
      <c r="F27" s="233" t="str">
        <f>IF(ISBLANK(VLOOKUP(C27,Stats!A17:L244,3,0)),"",VLOOKUP(C27,Stats!A17:L244,3,0))</f>
        <v/>
      </c>
      <c r="G27" s="233" t="str">
        <f>IF(ISBLANK(VLOOKUP(C27,Stats!A17:L244,4,0)),"",VLOOKUP(C27,Stats!A17:L244,4,0))</f>
        <v/>
      </c>
      <c r="H27" s="234" t="str">
        <f>IF(ISBLANK(VLOOKUP(C27,Stats!A17:L244,5,0)),"",VLOOKUP(C27,Stats!A17:L244,5,0))</f>
        <v/>
      </c>
      <c r="I27" s="504" t="str">
        <f>IF(ISBLANK(VLOOKUP(C27,Stats!A17:L244,6,0)),"",VLOOKUP(C27,Stats!A17:L244,6,0))</f>
        <v/>
      </c>
      <c r="J27" s="505" t="str">
        <f>IF(ISBLANK(VLOOKUP(C27,Stats!A17:L244,7,0)),"",VLOOKUP(C27,Stats!A17:L244,7,0))</f>
        <v/>
      </c>
      <c r="L27" s="218"/>
      <c r="M27" s="518" t="str">
        <f>IF(ISBLANK(VLOOKUP(C27,Stats!A17:L244,9,0)),"",VLOOKUP(C27,Stats!A17:L244,9,0))</f>
        <v/>
      </c>
      <c r="N27" s="519"/>
      <c r="O27" s="234" t="str">
        <f>IF(ISBLANK(VLOOKUP(C27,Stats!A17:L244,10,0)),"",VLOOKUP(C27,Stats!A17:L244,10,0))</f>
        <v/>
      </c>
      <c r="P27" s="518" t="str">
        <f>IF(ISBLANK(VLOOKUP(C27,Stats!A17:L244,11,0)),"",VLOOKUP(C27,Stats!A17:L244,11,0))</f>
        <v/>
      </c>
      <c r="Q27" s="519"/>
      <c r="R27" s="236" t="str">
        <f>IF(ISBLANK(VLOOKUP(C27,Stats!A17:L244,12,0)),"",VLOOKUP(C27,Stats!A17:L244,12,0))</f>
        <v/>
      </c>
    </row>
    <row r="28" spans="2:18" ht="14.45" customHeight="1" thickBot="1">
      <c r="B28" s="520" t="s">
        <v>31</v>
      </c>
      <c r="C28" s="521"/>
      <c r="D28" s="522"/>
      <c r="E28" s="220">
        <f>SUM(E21:E27)</f>
        <v>0</v>
      </c>
      <c r="F28" s="201">
        <f>SUM(F21:F27)</f>
        <v>0</v>
      </c>
      <c r="G28" s="201">
        <f>SUM(G21:G27)</f>
        <v>0</v>
      </c>
      <c r="H28" s="212">
        <f>SUM(H21:H27)</f>
        <v>0</v>
      </c>
      <c r="I28" s="213">
        <f>TRUNC((MAX(I21:I27))*I18)</f>
        <v>0</v>
      </c>
      <c r="J28" s="214">
        <f>TRUNC((MAX(J21:J27))*J18)</f>
        <v>0</v>
      </c>
      <c r="L28" s="219">
        <f>L21+L22</f>
        <v>0</v>
      </c>
      <c r="M28" s="523">
        <f>SUM(M21:M27)</f>
        <v>0</v>
      </c>
      <c r="N28" s="524"/>
      <c r="O28" s="212">
        <f>SUM(O21:O27)</f>
        <v>0</v>
      </c>
      <c r="P28" s="523">
        <f>SUM(P21:P27)</f>
        <v>0</v>
      </c>
      <c r="Q28" s="524"/>
      <c r="R28" s="203">
        <f>SUM(R21:R27)</f>
        <v>0</v>
      </c>
    </row>
    <row r="29" spans="2:18" ht="7.15" customHeight="1" thickBot="1">
      <c r="O29" s="5"/>
      <c r="P29" s="5"/>
      <c r="Q29" s="5"/>
      <c r="R29" s="5"/>
    </row>
    <row r="30" spans="2:18" ht="12.95" customHeight="1">
      <c r="B30" s="506" t="s">
        <v>32</v>
      </c>
      <c r="C30" s="507"/>
      <c r="D30" s="508"/>
      <c r="E30" s="205" t="s">
        <v>4</v>
      </c>
      <c r="F30" s="195" t="s">
        <v>5</v>
      </c>
      <c r="G30" s="195" t="s">
        <v>6</v>
      </c>
      <c r="H30" s="196" t="s">
        <v>7</v>
      </c>
      <c r="I30" s="205" t="s">
        <v>8</v>
      </c>
      <c r="J30" s="197" t="s">
        <v>9</v>
      </c>
      <c r="L30" s="226" t="s">
        <v>10</v>
      </c>
      <c r="M30" s="512" t="s">
        <v>11</v>
      </c>
      <c r="N30" s="513"/>
      <c r="O30" s="227" t="s">
        <v>12</v>
      </c>
      <c r="P30" s="512" t="s">
        <v>13</v>
      </c>
      <c r="Q30" s="513"/>
      <c r="R30" s="228" t="s">
        <v>14</v>
      </c>
    </row>
    <row r="31" spans="2:18" ht="12.95" customHeight="1" thickBot="1">
      <c r="B31" s="509"/>
      <c r="C31" s="510"/>
      <c r="D31" s="511"/>
      <c r="E31" s="222">
        <f t="shared" ref="E31:J31" si="0">E18+E28</f>
        <v>30</v>
      </c>
      <c r="F31" s="223">
        <f t="shared" si="0"/>
        <v>42</v>
      </c>
      <c r="G31" s="223">
        <f t="shared" si="0"/>
        <v>30</v>
      </c>
      <c r="H31" s="224">
        <f t="shared" si="0"/>
        <v>30</v>
      </c>
      <c r="I31" s="222">
        <f t="shared" si="0"/>
        <v>60</v>
      </c>
      <c r="J31" s="225">
        <f t="shared" si="0"/>
        <v>45</v>
      </c>
      <c r="L31" s="229">
        <f>IF(L28=0,L5+10,IF(C22="-",(L5+L21)*(1+VLOOKUP(C21,Stats!A17:N244,9,0)),IF(L22=0,(L5+L21),TRUNC((L5*1.5)+(L28*0.75)))))</f>
        <v>42</v>
      </c>
      <c r="M31" s="514">
        <f>M28+M5</f>
        <v>30</v>
      </c>
      <c r="N31" s="515"/>
      <c r="O31" s="230">
        <f>O28+O5</f>
        <v>36</v>
      </c>
      <c r="P31" s="514">
        <f>P28+P5</f>
        <v>6</v>
      </c>
      <c r="Q31" s="515"/>
      <c r="R31" s="231">
        <f>R28+R5</f>
        <v>12</v>
      </c>
    </row>
    <row r="1048568" ht="12.75" customHeight="1"/>
    <row r="1048569" ht="12.75" customHeight="1"/>
    <row r="1048570" ht="12.75" customHeight="1"/>
    <row r="1048571" ht="12.75" customHeight="1"/>
    <row r="1048572" ht="12.75" customHeight="1"/>
    <row r="1048573" ht="12.75" customHeight="1"/>
    <row r="1048574" ht="12.75" customHeight="1"/>
    <row r="1048575" ht="12.75" customHeight="1"/>
    <row r="1048576" ht="12.75" customHeight="1"/>
  </sheetData>
  <sheetProtection sheet="1" objects="1" scenarios="1" selectLockedCells="1"/>
  <mergeCells count="97">
    <mergeCell ref="B2:J2"/>
    <mergeCell ref="L2:O2"/>
    <mergeCell ref="Q2:R2"/>
    <mergeCell ref="B4:C5"/>
    <mergeCell ref="M4:N4"/>
    <mergeCell ref="P4:Q4"/>
    <mergeCell ref="M5:N5"/>
    <mergeCell ref="P5:Q5"/>
    <mergeCell ref="I6:I7"/>
    <mergeCell ref="J6:J7"/>
    <mergeCell ref="L7:M8"/>
    <mergeCell ref="N7:R8"/>
    <mergeCell ref="B8:C9"/>
    <mergeCell ref="D8:D9"/>
    <mergeCell ref="E8:E9"/>
    <mergeCell ref="F8:F9"/>
    <mergeCell ref="G8:G9"/>
    <mergeCell ref="H8:H9"/>
    <mergeCell ref="B6:C7"/>
    <mergeCell ref="D6:D7"/>
    <mergeCell ref="E6:E7"/>
    <mergeCell ref="F6:F7"/>
    <mergeCell ref="G6:G7"/>
    <mergeCell ref="H6:H7"/>
    <mergeCell ref="I8:I9"/>
    <mergeCell ref="J8:J9"/>
    <mergeCell ref="L9:M10"/>
    <mergeCell ref="N9:R10"/>
    <mergeCell ref="B10:C11"/>
    <mergeCell ref="D10:D11"/>
    <mergeCell ref="E10:E11"/>
    <mergeCell ref="F10:F11"/>
    <mergeCell ref="G10:G11"/>
    <mergeCell ref="H10:H11"/>
    <mergeCell ref="I10:I11"/>
    <mergeCell ref="J10:J11"/>
    <mergeCell ref="L11:M12"/>
    <mergeCell ref="N11:R12"/>
    <mergeCell ref="B12:C13"/>
    <mergeCell ref="D12:D13"/>
    <mergeCell ref="E12:E13"/>
    <mergeCell ref="F12:F13"/>
    <mergeCell ref="G12:G13"/>
    <mergeCell ref="H12:H13"/>
    <mergeCell ref="B17:C17"/>
    <mergeCell ref="B14:C15"/>
    <mergeCell ref="D14:D15"/>
    <mergeCell ref="E14:E15"/>
    <mergeCell ref="F14:F15"/>
    <mergeCell ref="G14:G15"/>
    <mergeCell ref="H14:H15"/>
    <mergeCell ref="B16:C16"/>
    <mergeCell ref="L17:M17"/>
    <mergeCell ref="N17:R17"/>
    <mergeCell ref="I12:I13"/>
    <mergeCell ref="J12:J13"/>
    <mergeCell ref="L13:M14"/>
    <mergeCell ref="N13:R14"/>
    <mergeCell ref="I14:I15"/>
    <mergeCell ref="J14:J15"/>
    <mergeCell ref="L15:M16"/>
    <mergeCell ref="N15:R16"/>
    <mergeCell ref="B18:C18"/>
    <mergeCell ref="L18:M18"/>
    <mergeCell ref="N18:R18"/>
    <mergeCell ref="B20:D20"/>
    <mergeCell ref="M20:N20"/>
    <mergeCell ref="P20:Q20"/>
    <mergeCell ref="C21:D21"/>
    <mergeCell ref="M21:N21"/>
    <mergeCell ref="P21:Q21"/>
    <mergeCell ref="C22:D22"/>
    <mergeCell ref="M22:N22"/>
    <mergeCell ref="P22:Q22"/>
    <mergeCell ref="C23:D23"/>
    <mergeCell ref="M23:N23"/>
    <mergeCell ref="P23:Q23"/>
    <mergeCell ref="C24:D24"/>
    <mergeCell ref="M24:N24"/>
    <mergeCell ref="P24:Q24"/>
    <mergeCell ref="C25:D25"/>
    <mergeCell ref="M25:N25"/>
    <mergeCell ref="P25:Q25"/>
    <mergeCell ref="C26:D26"/>
    <mergeCell ref="M26:N26"/>
    <mergeCell ref="P26:Q26"/>
    <mergeCell ref="C27:D27"/>
    <mergeCell ref="M27:N27"/>
    <mergeCell ref="P27:Q27"/>
    <mergeCell ref="B28:D28"/>
    <mergeCell ref="M28:N28"/>
    <mergeCell ref="P28:Q28"/>
    <mergeCell ref="B30:D31"/>
    <mergeCell ref="M30:N30"/>
    <mergeCell ref="P30:Q30"/>
    <mergeCell ref="M31:N31"/>
    <mergeCell ref="P31:Q31"/>
  </mergeCells>
  <conditionalFormatting sqref="L13">
    <cfRule type="cellIs" dxfId="52" priority="53" stopIfTrue="1" operator="notEqual">
      <formula>"Armor"</formula>
    </cfRule>
  </conditionalFormatting>
  <conditionalFormatting sqref="L18">
    <cfRule type="cellIs" dxfId="51" priority="57" stopIfTrue="1" operator="notEqual">
      <formula>"Esper"</formula>
    </cfRule>
  </conditionalFormatting>
  <conditionalFormatting sqref="L11">
    <cfRule type="cellIs" dxfId="50" priority="51" stopIfTrue="1" operator="notEqual">
      <formula>"Helmet"</formula>
    </cfRule>
  </conditionalFormatting>
  <conditionalFormatting sqref="L9">
    <cfRule type="cellIs" dxfId="49" priority="49" stopIfTrue="1" operator="notEqual">
      <formula>"Off Hand"</formula>
    </cfRule>
  </conditionalFormatting>
  <conditionalFormatting sqref="L15 L17">
    <cfRule type="cellIs" dxfId="48" priority="55" stopIfTrue="1" operator="notEqual">
      <formula>"Relic"</formula>
    </cfRule>
  </conditionalFormatting>
  <conditionalFormatting sqref="L7">
    <cfRule type="cellIs" dxfId="47" priority="45" stopIfTrue="1" operator="notEqual">
      <formula>"Weapon"</formula>
    </cfRule>
  </conditionalFormatting>
  <conditionalFormatting sqref="E21:H27">
    <cfRule type="cellIs" dxfId="46" priority="41" stopIfTrue="1" operator="lessThan">
      <formula>0</formula>
    </cfRule>
  </conditionalFormatting>
  <conditionalFormatting sqref="E28:H28">
    <cfRule type="cellIs" dxfId="45" priority="43" stopIfTrue="1" operator="lessThan">
      <formula>0</formula>
    </cfRule>
  </conditionalFormatting>
  <conditionalFormatting sqref="E6:J6 E8:J8 E10:J10 E12:J12 E14:J14 E16:J17">
    <cfRule type="cellIs" dxfId="44" priority="14" stopIfTrue="1" operator="equal">
      <formula>""</formula>
    </cfRule>
  </conditionalFormatting>
  <conditionalFormatting sqref="E21:H27">
    <cfRule type="cellIs" dxfId="43" priority="39" stopIfTrue="1" operator="equal">
      <formula>""</formula>
    </cfRule>
  </conditionalFormatting>
  <conditionalFormatting sqref="P21 M22:M27 O22:P27 R21:R27">
    <cfRule type="cellIs" dxfId="42" priority="1" stopIfTrue="1" operator="equal">
      <formula>""</formula>
    </cfRule>
  </conditionalFormatting>
  <conditionalFormatting sqref="L13">
    <cfRule type="cellIs" dxfId="41" priority="52" stopIfTrue="1" operator="equal">
      <formula>"Armor"</formula>
    </cfRule>
  </conditionalFormatting>
  <conditionalFormatting sqref="L18">
    <cfRule type="cellIs" dxfId="40" priority="56" stopIfTrue="1" operator="equal">
      <formula>"Esper"</formula>
    </cfRule>
  </conditionalFormatting>
  <conditionalFormatting sqref="L11">
    <cfRule type="cellIs" dxfId="39" priority="50" stopIfTrue="1" operator="equal">
      <formula>"Helmet"</formula>
    </cfRule>
  </conditionalFormatting>
  <conditionalFormatting sqref="L9">
    <cfRule type="cellIs" dxfId="38" priority="48" stopIfTrue="1" operator="equal">
      <formula>"Off Hand"</formula>
    </cfRule>
  </conditionalFormatting>
  <conditionalFormatting sqref="L15 L17">
    <cfRule type="cellIs" dxfId="37" priority="54" stopIfTrue="1" operator="equal">
      <formula>"Relic"</formula>
    </cfRule>
  </conditionalFormatting>
  <conditionalFormatting sqref="L7">
    <cfRule type="cellIs" dxfId="36" priority="44" stopIfTrue="1" operator="equal">
      <formula>"Weapon"</formula>
    </cfRule>
  </conditionalFormatting>
  <conditionalFormatting sqref="E6:J6 E8:J8 E10:J10 E12:J12 E14:J14 E16:J17">
    <cfRule type="cellIs" dxfId="35" priority="15" stopIfTrue="1" operator="equal">
      <formula>0</formula>
    </cfRule>
  </conditionalFormatting>
  <conditionalFormatting sqref="L21:L22">
    <cfRule type="cellIs" dxfId="34" priority="58" stopIfTrue="1" operator="equal">
      <formula>0</formula>
    </cfRule>
  </conditionalFormatting>
  <conditionalFormatting sqref="E6:J6 E8:J8 E10:J10 E12:J12 E14:J14 E16:J17">
    <cfRule type="cellIs" dxfId="33" priority="16" stopIfTrue="1" operator="greaterThan">
      <formula>0</formula>
    </cfRule>
  </conditionalFormatting>
  <conditionalFormatting sqref="E21:H27">
    <cfRule type="cellIs" dxfId="32" priority="40" stopIfTrue="1" operator="greaterThan">
      <formula>0</formula>
    </cfRule>
  </conditionalFormatting>
  <conditionalFormatting sqref="L21:L22">
    <cfRule type="cellIs" dxfId="31" priority="59" stopIfTrue="1" operator="greaterThan">
      <formula>0</formula>
    </cfRule>
  </conditionalFormatting>
  <conditionalFormatting sqref="P21 M22:M27 O22:P27 R21:R27">
    <cfRule type="cellIs" dxfId="30" priority="2" stopIfTrue="1" operator="greaterThan">
      <formula>0</formula>
    </cfRule>
  </conditionalFormatting>
  <dataValidations count="9">
    <dataValidation type="list" allowBlank="1" showErrorMessage="1" sqref="B4" xr:uid="{00000000-0002-0000-0000-000000000000}">
      <formula1>"Terra,Celes,Locke,Edgar,Sabin,Cyan,Shadow,Gau,Setzer,Mog,Strago,Relm,Gogo,Umaro"</formula1>
    </dataValidation>
    <dataValidation allowBlank="1" showErrorMessage="1" sqref="I4 P4 I18 E20:J28 L20:M28 P20 O21:P28 B20:B27 R21:R28 O29:R29 F30:H30 L30:M30 P30 E30:E31 I30:I31" xr:uid="{00000000-0002-0000-0000-000001000000}"/>
    <dataValidation type="list" allowBlank="1" showInputMessage="1" showErrorMessage="1" sqref="C21:D21" xr:uid="{3B0E18C1-1C70-46BC-B36B-102B2EF949FA}">
      <formula1>INDIRECT(B4&amp;"_weapons")</formula1>
    </dataValidation>
    <dataValidation type="list" allowBlank="1" showInputMessage="1" showErrorMessage="1" sqref="C22:D22" xr:uid="{38D802E3-9C39-457C-8C8E-EDC5287A936D}">
      <formula1>INDIRECT(B4&amp;"_offhand")</formula1>
    </dataValidation>
    <dataValidation type="list" allowBlank="1" showInputMessage="1" showErrorMessage="1" sqref="C23:D23" xr:uid="{CADDDA3C-68D9-4B39-9208-1609616E8CA1}">
      <formula1>INDIRECT(B4&amp;"_helmets")</formula1>
    </dataValidation>
    <dataValidation type="list" allowBlank="1" showInputMessage="1" showErrorMessage="1" sqref="C24:D24" xr:uid="{9E285CB1-D90B-4F6E-A139-59C56CC21926}">
      <formula1>INDIRECT(B4&amp;"_armor")</formula1>
    </dataValidation>
    <dataValidation type="list" allowBlank="1" showInputMessage="1" showErrorMessage="1" sqref="C25:D25" xr:uid="{01A4D644-6770-41CC-88BA-5EB23D7CDE6E}">
      <formula1>INDIRECT(B4&amp;"_relics")</formula1>
    </dataValidation>
    <dataValidation type="list" allowBlank="1" showInputMessage="1" showErrorMessage="1" sqref="C26:D26" xr:uid="{8D12733E-154D-4923-8781-B62BB90A1CA2}">
      <formula1>INDIRECT(B4&amp;"_relics")</formula1>
    </dataValidation>
    <dataValidation type="list" allowBlank="1" showInputMessage="1" showErrorMessage="1" sqref="C27:D27" xr:uid="{4109312F-EADF-49A7-8903-C54C84CA4CC0}">
      <formula1>INDIRECT(B4&amp;"_espers")</formula1>
    </dataValidation>
  </dataValidations>
  <printOptions horizontalCentered="1" verticalCentered="1"/>
  <pageMargins left="0" right="0" top="0.29570000000000002" bottom="0.29570000000000002" header="0" footer="0"/>
  <pageSetup fitToWidth="0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16</xdr:col>
                    <xdr:colOff>9525</xdr:colOff>
                    <xdr:row>1</xdr:row>
                    <xdr:rowOff>9525</xdr:rowOff>
                  </from>
                  <to>
                    <xdr:col>17</xdr:col>
                    <xdr:colOff>590550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30"/>
  <sheetViews>
    <sheetView zoomScale="175" zoomScaleNormal="175" workbookViewId="0">
      <selection activeCell="X4" sqref="X4"/>
    </sheetView>
  </sheetViews>
  <sheetFormatPr defaultRowHeight="12.75" customHeight="1"/>
  <cols>
    <col min="1" max="1" width="1.28515625" style="6" customWidth="1"/>
    <col min="2" max="3" width="4.28515625" style="6" customWidth="1"/>
    <col min="4" max="8" width="1.5703125" style="1" customWidth="1"/>
    <col min="9" max="9" width="3.7109375" style="1" customWidth="1"/>
    <col min="10" max="10" width="1.28515625" style="1" customWidth="1"/>
    <col min="11" max="11" width="8.7109375" style="1" customWidth="1"/>
    <col min="12" max="12" width="2.7109375" style="1" customWidth="1"/>
    <col min="13" max="13" width="1.5703125" style="1" customWidth="1"/>
    <col min="14" max="14" width="6.7109375" style="1" customWidth="1"/>
    <col min="15" max="17" width="1.28515625" style="1" customWidth="1"/>
    <col min="18" max="18" width="13.28515625" style="1" customWidth="1"/>
    <col min="19" max="19" width="6.7109375" style="1" customWidth="1"/>
    <col min="20" max="20" width="1.28515625" style="1" customWidth="1"/>
    <col min="21" max="21" width="13.28515625" style="1" customWidth="1"/>
    <col min="22" max="22" width="6.7109375" style="1" customWidth="1"/>
    <col min="23" max="23" width="1.28515625" style="1" customWidth="1"/>
    <col min="24" max="24" width="13.28515625" style="1" customWidth="1"/>
    <col min="25" max="25" width="6.7109375" style="1" customWidth="1"/>
    <col min="26" max="179" width="12.28515625" style="1" customWidth="1"/>
    <col min="180" max="1008" width="12.28515625" style="6" customWidth="1"/>
    <col min="1009" max="1024" width="12.28515625" style="2" customWidth="1"/>
    <col min="1025" max="16384" width="9.140625" style="2"/>
  </cols>
  <sheetData>
    <row r="1" spans="2:1024" s="6" customFormat="1" ht="7.15" customHeight="1" thickBot="1"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</row>
    <row r="2" spans="2:1024" ht="21.6" customHeight="1" thickBot="1">
      <c r="B2" s="699" t="str">
        <f>BNWCP!B4&amp;"'s Defense"</f>
        <v>Terra's Defense</v>
      </c>
      <c r="C2" s="700"/>
      <c r="D2" s="700"/>
      <c r="E2" s="700"/>
      <c r="F2" s="700"/>
      <c r="G2" s="700"/>
      <c r="H2" s="700"/>
      <c r="I2" s="700"/>
      <c r="J2" s="700"/>
      <c r="K2" s="700"/>
      <c r="L2" s="700"/>
      <c r="M2" s="700"/>
      <c r="N2" s="701"/>
      <c r="O2" s="7"/>
      <c r="P2" s="702"/>
      <c r="Q2" s="7"/>
      <c r="R2" s="699" t="str">
        <f>BNWCP!B4&amp;"'s Attacks"</f>
        <v>Terra's Attacks</v>
      </c>
      <c r="S2" s="700"/>
      <c r="T2" s="700"/>
      <c r="U2" s="700"/>
      <c r="V2" s="700"/>
      <c r="W2" s="700"/>
      <c r="X2" s="700"/>
      <c r="Y2" s="701"/>
    </row>
    <row r="3" spans="2:1024" ht="7.15" customHeight="1" thickBot="1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03"/>
      <c r="Q3" s="7"/>
      <c r="R3" s="7"/>
      <c r="S3" s="7"/>
      <c r="T3" s="7"/>
      <c r="U3" s="7"/>
      <c r="V3" s="7"/>
      <c r="W3" s="7"/>
      <c r="X3" s="7"/>
      <c r="Y3" s="7"/>
    </row>
    <row r="4" spans="2:1024" ht="14.45" customHeight="1">
      <c r="B4" s="605" t="s">
        <v>33</v>
      </c>
      <c r="C4" s="609"/>
      <c r="D4" s="609"/>
      <c r="E4" s="609"/>
      <c r="F4" s="609"/>
      <c r="G4" s="704">
        <f>BNWCP!M31</f>
        <v>30</v>
      </c>
      <c r="H4" s="704"/>
      <c r="I4" s="705"/>
      <c r="J4" s="7"/>
      <c r="K4" s="605" t="s">
        <v>34</v>
      </c>
      <c r="L4" s="609"/>
      <c r="M4" s="609"/>
      <c r="N4" s="237">
        <f>BNWCP!O31</f>
        <v>36</v>
      </c>
      <c r="O4" s="7"/>
      <c r="P4" s="703"/>
      <c r="Q4" s="7"/>
      <c r="R4" s="605" t="s">
        <v>35</v>
      </c>
      <c r="S4" s="606"/>
      <c r="T4" s="7"/>
      <c r="U4" s="243" t="str">
        <f>BNWCP!C21</f>
        <v>-</v>
      </c>
      <c r="V4" s="244">
        <f>IF(U4="Dice",C20*2*S25*S27*(IF(S25=S27,S25,1))*(IF(R7="X-Fight",2,1)),IF(U4="Fixed Dice",C20*2*S25*S27*S29*(IF(AND(S25=S27,S25=S29),S25,1))*(IF(R7="X-Fight",2,1)),TRUNC(((IF(U6="-",BNWCP!L31,(BNWCP!L5+BNWCP!L21)))+((IF(U4="Atma Weapon",H22,C21))*2)+(C20*C20*(IF(U4="Atma Weapon",H22,C21))*(IF(U6="-",BNWCP!L31,(BNWCP!L5+BNWCP!L21)))/6144)+(IF(U4="Valiance",H19*(1-(B29/100)),0)))*(IF(BNWCP!L22=0,1,0.75))*(IF(R7="X-Fight",1.5,IF(R6="  2x Jump?",S6+1,1)))*(IF(OR(VLOOKUP(U4,Stats!A17:N111,14,0)&gt;1,BNWCP!C25="Dragoon Seal",BNWCP!C26="Dragoon Seal"),1,1-(G6*0.5)))*(((IF(U19="Morph",S5+V20,IF(OR(BNWCP!C25="Dragoon Seal",BNWCP!C26="Dragoon Seal"),VLOOKUP(U4,Stats!A17:N111,10,0)+1+S5,S5)))*0.5)+1)*(IF(U4="Atma Weapon",B29/100,(IF(U5="Weakness?",V5+1,1))))*(IF(U9="Physical (+)",1.25,1))*(IF(V9="Max",0.99,0.89)))))</f>
        <v>101</v>
      </c>
      <c r="W4" s="8"/>
      <c r="X4" s="251" t="s">
        <v>25</v>
      </c>
      <c r="Y4" s="237">
        <f>(VLOOKUP(X4,Stats!A246:N447,2,0))</f>
        <v>0</v>
      </c>
    </row>
    <row r="5" spans="2:1024" ht="14.45" customHeight="1">
      <c r="B5" s="689" t="str">
        <f>IF(OR(BNWCP!C22="Genji Shield",BNWCP!C25="Guard Ring",BNWCP!C26="Guard Ring",BNWCP!C25="Quartz Charm",BNWCP!C26="Quartz Charm",BNWCP!C27="Bahamut"),IF(NOT(G5=1),"  Safe (!)","  Safe"),IF(G5&gt;1,"  Safe (!)","  Safe"))</f>
        <v xml:space="preserve">  Safe</v>
      </c>
      <c r="C5" s="690"/>
      <c r="D5" s="690"/>
      <c r="E5" s="690"/>
      <c r="F5" s="690"/>
      <c r="G5" s="691">
        <v>0</v>
      </c>
      <c r="H5" s="691"/>
      <c r="I5" s="692"/>
      <c r="J5" s="7"/>
      <c r="K5" s="689" t="str">
        <f>IF(OR(BNWCP!C22="Force Shield",BNWCP!C25="Wall Ring",BNWCP!C26="Wall Ring",BNWCP!C25="Quartz Charm",BNWCP!C26="Quartz Charm",BNWCP!C27="Tritoch"),IF(NOT(N5=1),"  Shell (!)","  Shell"),IF(N5&gt;1,"  Shell (!)","  Shell"))</f>
        <v xml:space="preserve">  Shell</v>
      </c>
      <c r="L5" s="690"/>
      <c r="M5" s="690"/>
      <c r="N5" s="238">
        <v>0</v>
      </c>
      <c r="O5" s="7"/>
      <c r="P5" s="703"/>
      <c r="Q5" s="7"/>
      <c r="R5" s="240" t="s">
        <v>36</v>
      </c>
      <c r="S5" s="238">
        <v>0</v>
      </c>
      <c r="T5" s="7"/>
      <c r="U5" s="245" t="str">
        <f>(IF(VLOOKUP(U4,Stats!A17:N111,13,0)=1,"Weakness?","-"))</f>
        <v>-</v>
      </c>
      <c r="V5" s="246">
        <v>0</v>
      </c>
      <c r="W5" s="8"/>
      <c r="X5" s="240" t="str">
        <f>IF(AND(VLOOKUP(X4,Stats!A246:N447,5,0)&gt;0,VLOOKUP(X4,Stats!A246:N447,5,0)&lt;7),IF(Y5&gt;1,"  Weakness (!)","  Weakness"),IF(AND(VLOOKUP(X4,Stats!A246:N447,5,0)&gt;6,VLOOKUP(X4,Stats!A246:N447,5,0)&lt;16),IF(Y5&gt;2,"  Weak/Resist (!)","  Weak/Resist (1/2)"),IF(VLOOKUP(X4,Stats!A246:N447,5,0)=16,IF(Y5&gt;1,"  Resistance (!)","  Resistance"),"  -")))</f>
        <v xml:space="preserve">  -</v>
      </c>
      <c r="Y5" s="238">
        <v>0</v>
      </c>
    </row>
    <row r="6" spans="2:1024" ht="14.45" customHeight="1">
      <c r="B6" s="689" t="str">
        <f>IF(G6&gt;1,"  Back Row (!)","  Back Row")</f>
        <v xml:space="preserve">  Back Row</v>
      </c>
      <c r="C6" s="690"/>
      <c r="D6" s="690"/>
      <c r="E6" s="690"/>
      <c r="F6" s="690"/>
      <c r="G6" s="691">
        <v>0</v>
      </c>
      <c r="H6" s="691"/>
      <c r="I6" s="692"/>
      <c r="J6" s="7"/>
      <c r="K6" s="693" t="str">
        <f>IF(K15="Flare Star",IF(NOT(N6=1),"  Target's LV (!)","  Target's LV"),IF(SUM(Desc!E2:E19)&gt;0,IF(NOT(N6=1),"  Resistance (!)","  Resistance"),IF(VLOOKUP(K15,Stats!A246:N447,5,0)&gt;2,IF(SUM(Desc!E2:E19)&lt;0,IF(NOT(N6=1),"  Weakness (!)","  Weakness"),IF(NOT(N6=0),"  Resistance (!)","  Resistance")),"  -")))</f>
        <v xml:space="preserve">  -</v>
      </c>
      <c r="L6" s="694"/>
      <c r="M6" s="694"/>
      <c r="N6" s="238">
        <v>0</v>
      </c>
      <c r="O6" s="7"/>
      <c r="P6" s="703"/>
      <c r="Q6" s="7"/>
      <c r="R6" s="241" t="str">
        <f>IF(OR(BNWCP!C25="Dragoon Seal",BNWCP!C26="Dragoon Seal"),IF(AND(BNWCP!C23="Dragon Helm",V6=0),"  2x Jump?","  Off Hand"),"  Off Hand")</f>
        <v xml:space="preserve">  Off Hand</v>
      </c>
      <c r="S6" s="242">
        <v>0</v>
      </c>
      <c r="T6" s="7"/>
      <c r="U6" s="247" t="str">
        <f>BNWCP!C22</f>
        <v>-</v>
      </c>
      <c r="V6" s="248">
        <f>IF(BNWCP!L22=0,0,TRUNC(((BNWCP!L5+BNWCP!L22)+(C21*2)+(C20*C20*C21*(BNWCP!L5+BNWCP!L22)/6144)+(IF(U6="Valiance",H19*(1-(B29/100)),0)))*0.75*(IF(VLOOKUP(U6,Stats!A17:N111,14,0)&gt;1,1,1-(G6*0.5)))*(IF(R7="X-Fight",1.5,1))*(((IF(U19="Morph",S6+V20,S6)*0.5)+1)*(IF(U7="Weakness?",V7+1,1))*(IF(U9="Physical (+)",1.25,1))*(IF(V9="Max",0.99,0.89)))))</f>
        <v>0</v>
      </c>
      <c r="W6" s="8"/>
      <c r="X6" s="241" t="str">
        <f>IF(VLOOKUP(X4,Stats!A246:N447,6,0)=1,IF(Y6&gt;1,"  Multi-Target (!)","  Multi-Target"),IF(AND(VLOOKUP(X4,Stats!A246:N447,6,0)=3,NOT(R7="Jump (+ Spell Bonus)")),IF(Y6&gt;1,"  Rod Crit (!)","  Rod Crit Bonus"),"  -"))</f>
        <v xml:space="preserve">  -</v>
      </c>
      <c r="Y6" s="242">
        <v>0</v>
      </c>
    </row>
    <row r="7" spans="2:1024" ht="14.45" customHeight="1" thickBot="1">
      <c r="B7" s="695" t="str">
        <f>IF(VLOOKUP(K15,Stats!A246:N447,3,0)&gt;0,IF(G7&gt;1,"  Defend (!)","  Defend (Phys)"),IF(G7&gt;1,"  Defend (!)","  Defend"))</f>
        <v xml:space="preserve">  Defend</v>
      </c>
      <c r="C7" s="696"/>
      <c r="D7" s="696"/>
      <c r="E7" s="696"/>
      <c r="F7" s="696"/>
      <c r="G7" s="697">
        <v>0</v>
      </c>
      <c r="H7" s="697"/>
      <c r="I7" s="698"/>
      <c r="J7" s="7"/>
      <c r="K7" s="695" t="str">
        <f>IF(K15="Step Mine",IF(N7=0,"  # of Steps (!)","  # of Steps"),IF(K15="Flare Star",IF(N7=0,"  # of Allies (!)","  # of Allies"),IF(OR(K14="Rock",K14="Tentacle",K14="Shrapnel"),IF(VLOOKUP(K15,Stats!A246:N447,6,0)=1,IF(N7&gt;1,"  Multi-Target (!)","  Multi-Tgt (Both)"),IF(N7&gt;1,"  Multi-Target (!)","  Multi-Tgt (Phys)")),IF(VLOOKUP(K15,Stats!A246:N447,6,0)=1,IF(N7&gt;1,"  Multi-Target (!)","  Multi-Target"),"  -"))))</f>
        <v xml:space="preserve">  -</v>
      </c>
      <c r="L7" s="696"/>
      <c r="M7" s="696"/>
      <c r="N7" s="239">
        <v>0</v>
      </c>
      <c r="O7" s="7"/>
      <c r="P7" s="703"/>
      <c r="Q7" s="7"/>
      <c r="R7" s="706" t="str">
        <f>IF(OR(BNWCP!C25="Dragoon Seal",BNWCP!C26="Dragoon Seal"),IF(VLOOKUP(U4,Stats!A17:N244,10,0)=1,"Jump (+ Spear Bonus)",IF(VLOOKUP(U4,Stats!A246:N447,6,0)&gt;1,"Jump (+ Spell Bonus)","Jump")),IF(OR(OR(BNWCP!C25="Daryl's Soul",BNWCP!C26="Daryl's Soul"),OR(BNWCP!C21="Kagenui",BNWCP!C22="Kagenui"),VLOOKUP(U4,Stats!A17:N111,14,0)=3),"X-Fight","N/A"))</f>
        <v>N/A</v>
      </c>
      <c r="S7" s="707"/>
      <c r="T7" s="7"/>
      <c r="U7" s="249" t="str">
        <f>(IF(VLOOKUP(U6,Stats!A17:N111,13,0)=1,"Weakness?","-"))</f>
        <v>-</v>
      </c>
      <c r="V7" s="250">
        <v>0</v>
      </c>
      <c r="W7" s="7"/>
      <c r="X7" s="706" t="str">
        <f>IF(VLOOKUP(X4,Stats!A246:N447,6,0)&gt;1,VLOOKUP(X4,Stats!A246:N447,7,0),"N/A")</f>
        <v>N/A</v>
      </c>
      <c r="Y7" s="707"/>
    </row>
    <row r="8" spans="2:1024" ht="7.15" customHeight="1" thickBot="1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03"/>
      <c r="Q8" s="7"/>
      <c r="R8" s="7"/>
      <c r="S8" s="7"/>
      <c r="T8" s="7"/>
      <c r="U8" s="7"/>
      <c r="V8" s="7"/>
      <c r="W8" s="7"/>
      <c r="X8" s="7"/>
      <c r="Y8" s="7"/>
    </row>
    <row r="9" spans="2:1024" ht="14.45" customHeight="1">
      <c r="B9" s="708" t="s">
        <v>37</v>
      </c>
      <c r="C9" s="709"/>
      <c r="D9" s="709"/>
      <c r="E9" s="709"/>
      <c r="F9" s="709"/>
      <c r="G9" s="709"/>
      <c r="H9" s="709"/>
      <c r="I9" s="710"/>
      <c r="J9" s="7"/>
      <c r="K9" s="708" t="s">
        <v>38</v>
      </c>
      <c r="L9" s="709"/>
      <c r="M9" s="709"/>
      <c r="N9" s="710"/>
      <c r="O9" s="7"/>
      <c r="P9" s="703"/>
      <c r="Q9" s="7"/>
      <c r="R9" s="605" t="s">
        <v>39</v>
      </c>
      <c r="S9" s="606"/>
      <c r="T9" s="7"/>
      <c r="U9" s="258" t="str">
        <f>IF(OR(VLOOKUP(BNWCP!C25,Stats!A170:N244,13,0)=0.25,VLOOKUP(BNWCP!C26,Stats!A170:N244,13,0)=0.25,VLOOKUP(BNWCP!C27,Stats!A170:N244,13,0)=0.25),"Physical (+)","Physical")</f>
        <v>Physical</v>
      </c>
      <c r="V9" s="259" t="s">
        <v>40</v>
      </c>
      <c r="W9" s="8"/>
      <c r="X9" s="258" t="str">
        <f>IF(OR(VLOOKUP(BNWCP!C25,Stats!A170:N244,14,0)=0.25,VLOOKUP(BNWCP!C26,Stats!A170:N244,14,0)=0.25,VLOOKUP(BNWCP!C27,Stats!A170:N244,14,0)=0.25),"Magical (+)","Magical")</f>
        <v>Magical</v>
      </c>
      <c r="Y9" s="259" t="s">
        <v>40</v>
      </c>
    </row>
    <row r="10" spans="2:1024" ht="14.45" customHeight="1">
      <c r="B10" s="671">
        <f>TRUNC(IF(OR(K14="Kunai",K14="Pointy Stick",K14="Spoon"),2*(I13*I13*((N14*4)+60)/256)*((225-(C21*0.75))/225),IF(OR(K14="Rock",K14="Tentacle",K14="Shrapnel"),(I13*I13*((N14*4)+60)/256),(I13*I13*((I14*4)+60)*N14/256))*(1-(G4/255))*((225-(C21*0.75))/225)*(1-(G6*0.25))*(1-(G5*0.33))*(1-(G7*0.5))*(IF(N14&lt;100,1,(1-(N7*0.5)))*(IF(U19="Morph",(IF((1-(H22/128))&lt;0.25,(1+(V20*0.25)),(1+(V20*(1-(H22/128)))))),1)))))</f>
        <v>0</v>
      </c>
      <c r="C10" s="711"/>
      <c r="D10" s="673" t="s">
        <v>41</v>
      </c>
      <c r="E10" s="673"/>
      <c r="F10" s="683">
        <f>TRUNC(IF(OR(K14="Kunai",K14="Pointy Stick",K14="Spoon"),2*(I13*I13*((N14*4)+60)/256)*((255-C21)/225),IF(OR(K14="Rock",K14="Tentacle",K14="Shrapnel"),(I13*I13*((N14*4)+60)/256),(I13*I13*((I14*4)+60)*N14/256))*(1-(G4/255))*((255-C21)/225)*(1-(G6*0.25))*(1-(G5*0.33))*(1-(G7*0.5))*(IF(N14&lt;100,1,(1-(N7*0.5)))*(IF(U19="Morph",(IF((1-(H22/128))&lt;0.25,(1+(V20*0.25)),(1+(V20*(1-(H22/128)))))),1)))))</f>
        <v>0</v>
      </c>
      <c r="G10" s="683"/>
      <c r="H10" s="683"/>
      <c r="I10" s="684"/>
      <c r="J10" s="7"/>
      <c r="K10" s="671">
        <f>TRUNC(IF(K15="Exploder",C14*B29/100,IF(K15="Blow Fish",1000,IF(K15="Step Mine",N7/48,IF(K15="Flare Star",N6*90/N7,IF(K15="Hyperdrive",C20*32,IF(VLOOKUP(K15,Stats!A246:N447,3,0)&gt;1,H19*(B29/100)*VLOOKUP(K15,Stats!A246:N447,3,0)/16*(IF(K6="  -",1,1-(MAX(N6,SUM(Desc!E2:'Desc'!E19))*N6*0.5))),((N15*4)+(I13*I15*N15/32))*(IF(VLOOKUP(K15,Stats!A246:N447,3,0)=1,1,(1-(N4/255))))*((225-(H22*0.75))/225)*(IF(K6="  -",1,IF(SUM(Desc!E2:'Desc'!E19)&lt;0,N6+1,1-(MAX(N6,SUM(Desc!E2:'Desc'!E19))*N6*0.5))))*(IF(VLOOKUP(K15,Stats!A246:N447,3,0)=1,1,(1-(N5*0.33))))*(IF(VLOOKUP(K15,Stats!A246:N447,3,0)=1,1,1-(G7*0.5)))*(IF(VLOOKUP(K15,Stats!A246:N447,6,0)=1,(1-(N7*0.5)),1))*(IF(U19="Morph",(IF((1-(H22/128))&lt;0.25,(1+(V20*0.25)),(1+(V20*(1-(H22/128)))))),1)))))))))</f>
        <v>0</v>
      </c>
      <c r="L10" s="673" t="s">
        <v>41</v>
      </c>
      <c r="M10" s="683">
        <f>TRUNC(IF(K15="Exploder",C14*B29/100,IF(K15="Blow Fish",1000,IF(K15="Step Mine",N7/48,IF(K15="Flare Star",N6*90/N7,IF(K15="Hyperdrive",C20*32,IF(VLOOKUP(K15,Stats!A246:N447,3,0)&gt;1,H19*(B29/100)*VLOOKUP(K15,Stats!A246:N447,3,0)/16*(IF(K6="  -",1,1-(MAX(N6,SUM(Desc!E2:'Desc'!E19))*N6*0.5))),((N15*4)+(I13*I15*N15/32))*(IF(VLOOKUP(K15,Stats!A246:N447,3,0)=1,1,(1-(N4/255))))*((255-H22)/225)*(IF(K6="  -",1,IF(SUM(Desc!E2:'Desc'!E19)&lt;0,N6+1,1-(MAX(N6,SUM(Desc!E2:'Desc'!E19))*N6*0.5))))*(IF(VLOOKUP(K15,Stats!A246:N447,3,0)=1,1,(1-(N5*0.33))))*(IF(VLOOKUP(K15,Stats!A246:N447,3,0)=1,1,1-(G7*0.5)))*(IF(VLOOKUP(K15,Stats!A246:N447,6,0)=1,(1-(N7*0.5)),1))*(IF(U19="Morph",(IF((1-(H22/128))&lt;0.25,(1+(V20*0.25)),(1+(V20*(1-(H22/128)))))),1)))))))))</f>
        <v>0</v>
      </c>
      <c r="N10" s="684"/>
      <c r="O10" s="7"/>
      <c r="P10" s="703"/>
      <c r="Q10" s="7"/>
      <c r="R10" s="252" t="s">
        <v>42</v>
      </c>
      <c r="S10" s="253">
        <v>1</v>
      </c>
      <c r="T10" s="7"/>
      <c r="U10" s="655">
        <f>IF(OR(AND(VLOOKUP(U4,Stats!A17:N111,14,0)&gt;2,VLOOKUP(U6,Stats!A17:N111,14,0)&lt;3,V6&gt;0),AND(VLOOKUP(U4,Stats!A17:N111,14,0)&lt;3,VLOOKUP(U6,Stats!A17:N111,14,0)&gt;2,V6&gt;0))," WHAT IS WRONG WITH YOU",IF(AND(U4="-",NOT(U6="-")),V6,V4+V6))</f>
        <v>101</v>
      </c>
      <c r="V10" s="656"/>
      <c r="W10" s="8"/>
      <c r="X10" s="659">
        <f>TRUNC(IF(X4="Holy Wind",H19*B29/100,IF(X4="Exploder",H19*B29/40,IF(X4="Chakra",(C20+H22)*0.5,IF(X4="Blow Fish",1000,IF(X4="Ragnarok",9999,IF(X4="Step Mine",U21,IF(VLOOKUP(X4,Stats!A246:N447,3,0)&gt;1,C14*VLOOKUP(X4,Stats!A246:N447,3,0)/16,((Y4*4)+(Y4*C20*(IF(VLOOKUP(X4,Stats!A246:N447,4,0)=1,H22,H21))/32))*(IF(U19="Morph",(V20*0.5)+1,IF(X7="-",1,IF(R7="Jump (+ Spell Bonus)",1.5,IF(X6="  Rod Crit Bonus",Y6+1,1))))*(IF(X7="N/A",1,IF(R7="Jump (+ Spell Bonus)",1,1-(G6*0.5)))*(IF(U20="Spell x2?",V20+1,1))*(IF(OR(AND(X5="  Weak/Resist (1/2)",Y5=2),AND(X5="  Resistance",Y5=1)),0.5,(IF(NOT(X5="  -"),Y5+1,1))))*(IF(X6="  Multi-Target",1-(Y6*0.5),1))*(IF(X9="Magical (+)",1.25,1))*(IF(Y9="Max",0.99,0.89))))))))))))</f>
        <v>0</v>
      </c>
      <c r="Y10" s="660"/>
    </row>
    <row r="11" spans="2:1024" ht="7.15" customHeight="1" thickBot="1">
      <c r="B11" s="672"/>
      <c r="C11" s="712"/>
      <c r="D11" s="674"/>
      <c r="E11" s="674"/>
      <c r="F11" s="685"/>
      <c r="G11" s="685"/>
      <c r="H11" s="685"/>
      <c r="I11" s="686"/>
      <c r="J11" s="7"/>
      <c r="K11" s="672"/>
      <c r="L11" s="674"/>
      <c r="M11" s="685"/>
      <c r="N11" s="686"/>
      <c r="O11" s="7"/>
      <c r="P11" s="703"/>
      <c r="Q11" s="7"/>
      <c r="R11" s="663" t="s">
        <v>43</v>
      </c>
      <c r="S11" s="664">
        <v>2</v>
      </c>
      <c r="T11" s="7"/>
      <c r="U11" s="657"/>
      <c r="V11" s="658"/>
      <c r="W11" s="8"/>
      <c r="X11" s="661"/>
      <c r="Y11" s="662"/>
    </row>
    <row r="12" spans="2:1024" ht="7.15" customHeight="1" thickBot="1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03"/>
      <c r="Q12" s="7"/>
      <c r="R12" s="663"/>
      <c r="S12" s="664"/>
      <c r="T12" s="7"/>
      <c r="U12" s="7"/>
      <c r="V12" s="7"/>
      <c r="W12" s="7"/>
      <c r="X12" s="7"/>
      <c r="Y12" s="7"/>
    </row>
    <row r="13" spans="2:1024" ht="14.45" customHeight="1">
      <c r="B13" s="665" t="s">
        <v>25</v>
      </c>
      <c r="C13" s="666"/>
      <c r="D13" s="666"/>
      <c r="E13" s="666"/>
      <c r="F13" s="622" t="s">
        <v>44</v>
      </c>
      <c r="G13" s="622"/>
      <c r="H13" s="622"/>
      <c r="I13" s="260">
        <f>VLOOKUP(B13,Enemies!B2:I322,4,0)</f>
        <v>0</v>
      </c>
      <c r="J13" s="7"/>
      <c r="K13" s="605" t="str">
        <f>IF(B13="-","Attacks",IF(OR(B13="Kefka I",B13="Kefka II",B13="Kefka III"),"Kefka's Attacks",IF(OR(B13="Ultros I",B13="Ultros II",B13="Ultros III",B13="Ultros IV"),"Ultros's Attacks",IF(OR(B13="(Blinky)",B13="(Pinky)",B13="(Inky)",B13="(Clyde)"),"Hidonites's Attacks",IF(OR(B13="(Rapier)",B13="(Saber)"),"Number 128's Attacks",IF(OR(B13="(Striker)",B13="(Rake)"),"Inferno's Attacks",IF(OR(B13="(Right Bay)",B13="(Left Bay)"),"IAF's Attacks",B13&amp;"'s Attacks")))))))</f>
        <v>Attacks</v>
      </c>
      <c r="L13" s="609"/>
      <c r="M13" s="609"/>
      <c r="N13" s="606"/>
      <c r="O13" s="7"/>
      <c r="P13" s="703"/>
      <c r="Q13" s="7"/>
      <c r="R13" s="254" t="s">
        <v>1282</v>
      </c>
      <c r="S13" s="255">
        <v>2</v>
      </c>
      <c r="T13" s="7"/>
      <c r="U13" s="275" t="str">
        <f>IF(AND(VLOOKUP(B13,Enemies!B2:I322,7,0)=100,NOT(V13=U10)),"  Def: 100  --------&gt;","  Def: 100")</f>
        <v xml:space="preserve">  Def: 100</v>
      </c>
      <c r="V13" s="276">
        <f>IF(U10=" WHAT IS WRONG WITH YOU","BAD",IF(OR(VLOOKUP(U4,Stats!A17:N111,14,0)&gt;2,VLOOKUP(U6,Stats!A17:N111,14,0)&gt;2),U10,TRUNC((V4*(IF(VLOOKUP(U4,Stats!A17:N111,14,0)=1,1,0.6)))+(V6*(IF(VLOOKUP(U6,Stats!A17:N111,14,0)=1,1,0.6))))))</f>
        <v>60</v>
      </c>
      <c r="W13" s="8"/>
      <c r="X13" s="275" t="str">
        <f>IF(VLOOKUP(B13,Enemies!B2:I322,8,0)=100,"  M.Def: 100  -----&gt;","  M.Def: 100")</f>
        <v xml:space="preserve">  M.Def: 100</v>
      </c>
      <c r="Y13" s="276">
        <f>TRUNC(X10*(IF(VLOOKUP(X4,Stats!A246:N447,3,0)&gt;0,1,0.6)))</f>
        <v>0</v>
      </c>
    </row>
    <row r="14" spans="2:1024" ht="14.45" customHeight="1">
      <c r="B14" s="261" t="s">
        <v>8</v>
      </c>
      <c r="C14" s="675">
        <f>VLOOKUP(B13,Enemies!B2:I322,2,0)</f>
        <v>0</v>
      </c>
      <c r="D14" s="675"/>
      <c r="E14" s="675"/>
      <c r="F14" s="676" t="s">
        <v>45</v>
      </c>
      <c r="G14" s="676"/>
      <c r="H14" s="676"/>
      <c r="I14" s="262">
        <f>VLOOKUP(B13,Enemies!B2:I322,5,0)</f>
        <v>0</v>
      </c>
      <c r="J14" s="7"/>
      <c r="K14" s="677" t="s">
        <v>25</v>
      </c>
      <c r="L14" s="678"/>
      <c r="M14" s="678"/>
      <c r="N14" s="265" t="str">
        <f>IF(OR(I14=0,K14="-"),"0",IF(K14="Fight",1,IF(K14="Jump",1.5,IF(OR(K14="Rock",K14="Tentacle",K14="Shrapnel",K14="Kunai",K14="Pointy Stick",K14="Spoon"),VLOOKUP(K14,Stats!A246:N447,2,0),VLOOKUP(B13,Enemies!B3:L323,9,0)))))</f>
        <v>0</v>
      </c>
      <c r="O14" s="7"/>
      <c r="P14" s="703"/>
      <c r="Q14" s="7"/>
      <c r="R14" s="254" t="s">
        <v>1266</v>
      </c>
      <c r="S14" s="255">
        <v>4</v>
      </c>
      <c r="T14" s="7"/>
      <c r="U14" s="277" t="str">
        <f>IF(AND(VLOOKUP(B13,Enemies!B2:I322,7,0)=150,NOT(V14=U10)),"  Def: 150  --------&gt;","  Def: 150")</f>
        <v xml:space="preserve">  Def: 150</v>
      </c>
      <c r="V14" s="278">
        <f>IF(U10=" WHAT IS WRONG WITH YOU","BAD",IF(OR(VLOOKUP(U4,Stats!A17:N111,14,0)&gt;2,VLOOKUP(U6,Stats!A17:N111,14,0)&gt;2),U10,TRUNC((V4*(IF(VLOOKUP(U4,Stats!A17:N111,14,0)=1,1,0.4)))+(V6*(IF(VLOOKUP(U6,Stats!A17:N111,14,0)=1,1,0.4))))))</f>
        <v>40</v>
      </c>
      <c r="W14" s="8"/>
      <c r="X14" s="277" t="str">
        <f>IF(VLOOKUP(B13,Enemies!B2:I322,8,0)=150,"  M.Def: 150  -----&gt;","  M.Def: 150")</f>
        <v xml:space="preserve">  M.Def: 150</v>
      </c>
      <c r="Y14" s="278">
        <f>TRUNC(X10*(IF(VLOOKUP(X4,Stats!A246:N447,3,0)&gt;0,1,0.4)))</f>
        <v>0</v>
      </c>
    </row>
    <row r="15" spans="2:1024" ht="14.45" customHeight="1" thickBot="1">
      <c r="B15" s="263" t="s">
        <v>9</v>
      </c>
      <c r="C15" s="679">
        <f>VLOOKUP(B13,Enemies!B2:I322,3,0)</f>
        <v>0</v>
      </c>
      <c r="D15" s="679"/>
      <c r="E15" s="679"/>
      <c r="F15" s="680" t="s">
        <v>46</v>
      </c>
      <c r="G15" s="680"/>
      <c r="H15" s="680"/>
      <c r="I15" s="264">
        <f>VLOOKUP(B13,Enemies!B2:I322,6,0)</f>
        <v>0</v>
      </c>
      <c r="J15" s="7"/>
      <c r="K15" s="681" t="s">
        <v>25</v>
      </c>
      <c r="L15" s="682"/>
      <c r="M15" s="682"/>
      <c r="N15" s="266">
        <f>(VLOOKUP(K15,Stats!A246:N447,2,0))</f>
        <v>0</v>
      </c>
      <c r="O15" s="7"/>
      <c r="P15" s="703"/>
      <c r="Q15" s="7"/>
      <c r="R15" s="256" t="s">
        <v>1267</v>
      </c>
      <c r="S15" s="257" t="s">
        <v>47</v>
      </c>
      <c r="T15" s="7"/>
      <c r="U15" s="279" t="str">
        <f>IF(AND(VLOOKUP(B13,Enemies!B2:I322,7,0)="Safe",NOT(V15=U10)),"  Def: (Safe)  -----&gt;","  Def: (Safe)")</f>
        <v xml:space="preserve">  Def: (Safe)</v>
      </c>
      <c r="V15" s="280">
        <f>IF(U10=" WHAT IS WRONG WITH YOU","BAD",IF(OR(VLOOKUP(U4,Stats!A17:N111,14,0)&gt;2,VLOOKUP(U6,Stats!A17:N111,14,0)&gt;2),U10,TRUNC((V4*(IF(VLOOKUP(U4,Stats!A17:N111,14,0)=1,1,0.25)))+(V6*(IF(VLOOKUP(U6,Stats!A17:N111,14,0)=1,1,0.25))))))</f>
        <v>25</v>
      </c>
      <c r="W15" s="8"/>
      <c r="X15" s="279" t="str">
        <f>IF(VLOOKUP(B13,Enemies!B2:I322,8,0)="Shell","  M.Def: (Shell) --&gt;","  M.Def: (Shell)")</f>
        <v xml:space="preserve">  M.Def: (Shell)</v>
      </c>
      <c r="Y15" s="280">
        <f>TRUNC(X10*(IF(VLOOKUP(X4,Stats!A246:N447,3,0)&gt;0,1,0.25)))</f>
        <v>0</v>
      </c>
    </row>
    <row r="16" spans="2:1024" ht="7.15" customHeight="1" thickBot="1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03"/>
      <c r="Q16" s="7"/>
      <c r="R16" s="7"/>
      <c r="S16" s="7"/>
      <c r="T16" s="7"/>
      <c r="U16" s="7"/>
      <c r="V16" s="7"/>
      <c r="W16" s="7"/>
      <c r="X16" s="7"/>
      <c r="Y16" s="7"/>
    </row>
    <row r="17" spans="2:25" ht="7.15" customHeight="1" thickBot="1">
      <c r="B17" s="667"/>
      <c r="C17" s="668"/>
      <c r="D17" s="668"/>
      <c r="E17" s="668"/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281"/>
      <c r="Q17" s="669"/>
      <c r="R17" s="669"/>
      <c r="S17" s="669"/>
      <c r="T17" s="669"/>
      <c r="U17" s="669"/>
      <c r="V17" s="669"/>
      <c r="W17" s="669"/>
      <c r="X17" s="669"/>
      <c r="Y17" s="670"/>
    </row>
    <row r="18" spans="2:25" ht="7.15" customHeight="1" thickBot="1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618"/>
      <c r="Q18" s="7"/>
      <c r="R18" s="7"/>
      <c r="S18" s="7"/>
      <c r="T18" s="7"/>
      <c r="U18" s="7"/>
      <c r="V18" s="7"/>
      <c r="W18" s="7"/>
      <c r="X18" s="7"/>
      <c r="Y18" s="7"/>
    </row>
    <row r="19" spans="2:25" ht="14.45" customHeight="1">
      <c r="B19" s="620" t="str">
        <f>BNWCP!B4</f>
        <v>Terra</v>
      </c>
      <c r="C19" s="621"/>
      <c r="D19" s="621"/>
      <c r="E19" s="622" t="s">
        <v>8</v>
      </c>
      <c r="F19" s="622"/>
      <c r="G19" s="622"/>
      <c r="H19" s="623">
        <f>BNWCP!I31</f>
        <v>60</v>
      </c>
      <c r="I19" s="624"/>
      <c r="J19" s="7"/>
      <c r="K19" s="605" t="s">
        <v>48</v>
      </c>
      <c r="L19" s="609"/>
      <c r="M19" s="609"/>
      <c r="N19" s="606"/>
      <c r="O19" s="7"/>
      <c r="P19" s="618"/>
      <c r="Q19" s="7"/>
      <c r="R19" s="605" t="str">
        <f>IF(BNWCP!B4="GOGO",IF(S20=1,"Tools",IF(S20=2,"Blitz",IF(S20=3,"Bushido",IF(S20=4,"Throw",IF(S20=5,"Slots / GP Toss",IF(S20=6,"Dance",IF(S20=7,"Rage","Desperation Attack"))))))),IF(OR(BNWCP!B4="SHADOW",BNWCP!B4="RELM"),"Desperation/Reprisal",IF(BNWCP!B4="UMARO","Tackle",IF(BNWCP!B4="GAU","-","Desperation Attack"))))</f>
        <v>Desperation Attack</v>
      </c>
      <c r="S19" s="606"/>
      <c r="T19" s="7"/>
      <c r="U19" s="605" t="str">
        <f>IF(BNWCP!B4="TERRA","Morph",IF(OR(BNWCP!B4="LOCKE",BNWCP!B4="MOG",BNWCP!B4="STRAGO"),IF(X4="Bedevil","Bedevil (MP)",IF(X4="Raid","Raid (MP)","X-Magic")),IF(OR(BNWCP!B4="EDGAR",AND(BNWCP!B4="GOGO",S20=1)),IF(V20=0,"Drill",IF(V20=1,"Chainsaw","-")),IF(OR(BNWCP!B4="SABIN",AND(BNWCP!B4="GOGO",S20=2)),IF(V20=0,"Pummel",IF(V20=1,"Suplex",IF(V20=2,"Bum Rush","-"))),IF(OR(BNWCP!B4="CYAN",AND(BNWCP!B4="GOGO",S20=3)),"Dispatch",IF(OR(BNWCP!B4="SHADOW",AND(BNWCP!B4="GOGO",S20=4)),"Stars &amp; Knives",IF(OR(BNWCP!B4="SETZER",AND(BNWCP!B4="GOGO",S20=5)),"GP Toss",IF(OR(BNWCP!B4="GAU",AND(BNWCP!B4="GOGO",S20=7)),"Step Mine",IF(AND(BNWCP!B4="UMARO",OR(BNWCP!C25="Storm Belt",BNWCP!C26="Storm Belt")),"Character Toss",IF(AND(OR(BNWCP!B4="CELES",AND(BNWCP!B4="GOGO",S20=0)),OR(BNWCP!C25="Mystery Egg",BNWCP!C26="Mystery Egg")),"Shock","-"))))))))))</f>
        <v>Morph</v>
      </c>
      <c r="V19" s="606"/>
      <c r="W19" s="7"/>
      <c r="X19" s="605" t="str">
        <f>IF(OR(BNWCP!B4="EDGAR",AND(BNWCP!B4="GOGO",S20=1)),"Support Tools",IF(OR(BNWCP!B4="SABIN",AND(BNWCP!B4="GOGO",S20=2)),"Support Blitzes",IF(OR(BNWCP!B4="CYAN",AND(BNWCP!B4="GOGO",S20=3)),"Other Bushido",IF(OR(BNWCP!B4="SHADOW",AND(BNWCP!B4="GOGO",S20=4)),"Throwing Stars",IF(OR(BNWCP!B4="SETZER",AND(BNWCP!B4="GOGO",S20=5)),"Slots",IF(OR(BNWCP!B4="MOG",AND(BNWCP!B4="GOGO",S20=6)),"Dance",IF(OR(BNWCP!B4="GAU",AND(BNWCP!B4="GOGO",S20=7)),"Rage","-")))))))</f>
        <v>-</v>
      </c>
      <c r="Y19" s="606"/>
    </row>
    <row r="20" spans="2:25" ht="14.45" customHeight="1">
      <c r="B20" s="267" t="s">
        <v>44</v>
      </c>
      <c r="C20" s="625">
        <f>BNWCP!D5</f>
        <v>1</v>
      </c>
      <c r="D20" s="625"/>
      <c r="E20" s="626" t="s">
        <v>9</v>
      </c>
      <c r="F20" s="626"/>
      <c r="G20" s="626"/>
      <c r="H20" s="687">
        <f>BNWCP!J31</f>
        <v>45</v>
      </c>
      <c r="I20" s="688"/>
      <c r="J20" s="7"/>
      <c r="K20" s="616" t="s">
        <v>49</v>
      </c>
      <c r="L20" s="595"/>
      <c r="M20" s="635">
        <f>BNWCP!P31/128</f>
        <v>4.6875E-2</v>
      </c>
      <c r="N20" s="636"/>
      <c r="O20" s="7"/>
      <c r="P20" s="618"/>
      <c r="Q20" s="7"/>
      <c r="R20" s="269" t="str">
        <f>IF(BNWCP!B4="GOGO","  Select Skill (1-7)",IF(OR(BNWCP!B4="SHADOW",BNWCP!B4="RELM"),IF(S20=0,"  1 = Interceptor","  0 = Desperation"),"  -"))</f>
        <v xml:space="preserve">  -</v>
      </c>
      <c r="S20" s="242">
        <v>0</v>
      </c>
      <c r="T20" s="7"/>
      <c r="U20" s="270" t="str">
        <f>IF(BNWCP!B4="TERRA","No=0 / Yes=1",IF(AND(U19="X-Magic",OR(BNWCP!C25="Sage Stone",BNWCP!C26="Sage Stone"),VLOOKUP(X4,Stats!A246:N447,7,0)=""),"Spell x2?",IF(OR(BNWCP!B4="EDGAR",AND(BNWCP!B4="GOGO",S20=1)),(IF(U19="Drill","1 = Chainsaw","0 = Drill")),IF(OR(BNWCP!B4="SABIN",AND(BNWCP!B4="GOGO",S20=2)),(IF(U19="Pummel","1 = Suplex",(IF(U19="Suplex","2 = Bum Rush","0 = Pummel")))),IF(OR(BNWCP!B4="CYAN",AND(BNWCP!B4="GOGO",S20=3)),"Weakness?",IF(OR(BNWCP!B4="SHADOW",AND(BNWCP!B4="GOGO",S20=4)),"Battle Power",IF(AND(U19="GP Toss",OR(BNWCP!C25="Heiji's Coin",BNWCP!C26="Heiji's Coin")),"# of Targets",IF(U19="Step Mine","# of Steps",IF(AND(BNWCP!B4="UMARO",OR(BNWCP!C25="Storm Belt",BNWCP!C26="Storm Belt")),"Throwing Mog?","  -")))))))))</f>
        <v>No=0 / Yes=1</v>
      </c>
      <c r="V20" s="242">
        <v>0</v>
      </c>
      <c r="W20" s="7"/>
      <c r="X20" s="271" t="str">
        <f>IF(OR(BNWCP!B4="EDGAR",AND(BNWCP!B4="GOGO",S20=1)),"  Defibrillator",IF(OR(BNWCP!B4="SABIN",AND(BNWCP!B4="GOGO",S20=2)),"  Mantra",IF(OR(BNWCP!B4="CYAN",AND(BNWCP!B4="GOGO",S20=3)),"  Mindblow",IF(OR(BNWCP!B4="SHADOW",AND(BNWCP!B4="GOGO",S20=4)),"  Shuriken",IF(OR(BNWCP!B4="SETZER",AND(BNWCP!B4="GOGO",S20=5)),"  Go Fish / 777",IF(OR(BNWCP!B4="MOG",AND(BNWCP!B4="GOGO",S20=6)),IF(VLOOKUP(X4,Stats!A246:N447,6,0)&gt;1,"  -",IF(VLOOKUP(X4,Stats!A246:N447,7,0)="","  -",VLOOKUP(X4,Stats!A246:N447,7,0))),IF(OR(BNWCP!B4="GAU",AND(BNWCP!B4="GOGO",S20=7)),IF(VLOOKUP(X4,Stats!A246:N447,6,0)&gt;1,"  -",IF(VLOOKUP(X4,Stats!A246:N447,11,0)="","  -",VLOOKUP(X4,Stats!A246:N447,11,0))),"  -")))))))</f>
        <v xml:space="preserve">  -</v>
      </c>
      <c r="Y20" s="272" t="str">
        <f>IF(X20="  -","N/A",IF(X20="  Mindblow",500,IF(X20="  Shuriken","(90)",IF(X19="Rage",VLOOKUP(X4,Stats!A246:N447,12,0),IF(X19="Dance",VLOOKUP(X4,Stats!A246:N447,8,0),IF(X20="  Mantra",TRUNC(H22*(C20+(H19*B29/6400))/4),TRUNC(((IF(OR(X20="  Go Fish / 777",X20="  Defibrillator"),40,300))+((IF(OR(X20="  Go Fish / 777",X20="  Defibrillator"),10,75))*C20*H21/32))*(IF(X9="Magical (+)",1.25,1))*(IF(Y9="Max",0.99,0.89)))))))))</f>
        <v>N/A</v>
      </c>
    </row>
    <row r="21" spans="2:25" ht="14.45" customHeight="1" thickBot="1">
      <c r="B21" s="268" t="s">
        <v>50</v>
      </c>
      <c r="C21" s="637">
        <f>BNWCP!E31</f>
        <v>30</v>
      </c>
      <c r="D21" s="637"/>
      <c r="E21" s="638" t="s">
        <v>46</v>
      </c>
      <c r="F21" s="638"/>
      <c r="G21" s="638"/>
      <c r="H21" s="637">
        <f>BNWCP!F31</f>
        <v>42</v>
      </c>
      <c r="I21" s="639"/>
      <c r="J21" s="7"/>
      <c r="K21" s="584" t="s">
        <v>51</v>
      </c>
      <c r="L21" s="640"/>
      <c r="M21" s="635">
        <f>BNWCP!R31/128</f>
        <v>9.375E-2</v>
      </c>
      <c r="N21" s="636"/>
      <c r="O21" s="7"/>
      <c r="P21" s="618"/>
      <c r="Q21" s="7"/>
      <c r="R21" s="641">
        <f>IF(BNWCP!B4="GOGO",IF(S20=0,9999,"N/A"),IF(BNWCP!B4="UMARO",U10,IF(BNWCP!B4="GAU","N/A",TRUNC(((IF(AND(OR(BNWCP!B4="SHADOW",BNWCP!B4="RELM"),S20=1),240,600))+((IF(AND(OR(BNWCP!B4="SHADOW",BNWCP!B4="RELM"),S20=1),60,150))*C20*H22/32))*((IF(U19="Morph",V20,0)*0.5)+1)*(IF(X9="Magical (+)",1.25,1))*(IF(Y9="Max",0.99,0.89))))))</f>
        <v>733</v>
      </c>
      <c r="S21" s="642"/>
      <c r="T21" s="7"/>
      <c r="U21" s="645" t="str">
        <f>IF(U19="-","N/A",IF(OR(BNWCP!B4="EDGAR",BNWCP!B4="SABIN",BNWCP!B4="SHADOW",AND(BNWCP!B4="GOGO",S20&gt;0,S20&lt;3),AND(BNWCP!B4="GOGO",S20=4)),TRUNC(((IF(U19="Pummel",150,IF(U19="Suplex",180,IF(U19="Drill",200,IF(OR(U19="Bum Rush",U19="Chainsaw"),255,V20)))))+(C21*2)+(C20*C20*C21*(IF(U19="Pummel",150,IF(U19="Suplex",180,IF(U19="Drill",200,IF(OR(U19="Bum Rush",U19="Chainsaw"),255,V20)))))/6144))*(IF(U19="Stars &amp; Knives",(1-(S25*0.5))*(S27+1)*2,(1-(G6*0.5))))*(IF(U9="Physical (+)",1.25,1))*(IF(V9="Max",0.99,0.89))),IF(U19="Dispatch",TRUNC(((BNWCP!L31*0.75)+(C21*2)+(C20*C20*C21*(BNWCP!L31*0.75)/6144))*(1-(G6*0.5))*(IF(U9="Physical (+)",1.25,1))*(IF(V9="Max",0.99,0.89))*(V20+1)),IF(AND(U19="GP Toss",OR(BNWCP!C25="Heiji's Coin",BNWCP!C26="Heiji's Coin")),TRUNC(C20*H22*10/(2*(V20+1))),IF(U19="Step Mine",TRUNC(V20/48),IF(OR(X4="Bedevil",X4="Raid"),TRUNC(X10*0.25),IF(U19="Character Toss",TRUNC(((BNWCP!L31*1.5)+(C21*2)+(C20*C20*C21*BNWCP!L31*1.5/6144))*(V20+1)*1.25*(IF(V9="Max",0.99,0.89))),IF(U19="Shock",TRUNC(((C20*H22)+(H19*(B29/100)))*0.75*(IF(X9="Magical (+)",1.25,1))*(IF(Y9="Max",0.99,0.89))),"N/A"))))))))</f>
        <v>N/A</v>
      </c>
      <c r="V21" s="646"/>
      <c r="W21" s="7"/>
      <c r="X21" s="273" t="str">
        <f>IF(OR(BNWCP!B4="EDGAR",AND(BNWCP!B4="GOGO",S20=1)),"  Mana Battery",IF(OR(BNWCP!B4="SABIN",AND(BNWCP!B4="GOGO",S20=2)),"  Chakra",IF(OR(BNWCP!B4="CYAN",AND(BNWCP!B4="GOGO",S20=3)),"  Dragon",IF(OR(BNWCP!B4="SHADOW",AND(BNWCP!B4="GOGO",S20=4)),"  Ninja Star",IF(OR(BNWCP!B4="SETZER",AND(BNWCP!B4="GOGO",S20=5)),"  Blackjack",IF(OR(BNWCP!B4="MOG",AND(BNWCP!B4="GOGO",S20=6)),IF(VLOOKUP(X4,Stats!A246:N447,6,0)&gt;1,"  -",IF(VLOOKUP(X4,Stats!A246:N447,9,0)="","  -",VLOOKUP(X4,Stats!A246:N447,9,0))),IF(OR(BNWCP!B4="GAU",AND(BNWCP!B4="GOGO",S20=7)),IF(VLOOKUP(X4,Stats!A246:N447,6,0)&gt;1,"  -",IF(VLOOKUP(X4,Stats!A246:N447,13,0)="","  -",VLOOKUP(X4,Stats!A246:N447,13,0))),"  -")))))))</f>
        <v xml:space="preserve">  -</v>
      </c>
      <c r="Y21" s="274" t="str">
        <f>IF(X21="  -","N/A",IF(X21="  Ninja Star","(255)",IF(X19="Rage",VLOOKUP(X4,Stats!A246:N447,14,0),IF(X19="Dance",VLOOKUP(X4,Stats!A246:N447,10,0),IF(X21="  Chakra",TRUNC((C20+H22)*0.5),TRUNC(((IF(X21="  Blackjack",36,IF(X21="  Dragon",40,1)))*4)+((IF(X21="  Blackjack",36,IF(X21="  Dragon",40,1)))*C20*(IF(X21="  Dragon",H22,H21))/32)*(IF(X9="Magical (+)",1.25,1))*(IF(Y9="Max",0.99,0.89))))))))</f>
        <v>N/A</v>
      </c>
    </row>
    <row r="22" spans="2:25" ht="7.15" customHeight="1" thickBot="1">
      <c r="B22" s="647" t="s">
        <v>52</v>
      </c>
      <c r="C22" s="649">
        <f>BNWCP!G31</f>
        <v>30</v>
      </c>
      <c r="D22" s="649"/>
      <c r="E22" s="651" t="s">
        <v>7</v>
      </c>
      <c r="F22" s="651"/>
      <c r="G22" s="651"/>
      <c r="H22" s="649">
        <f>BNWCP!H31</f>
        <v>30</v>
      </c>
      <c r="I22" s="653"/>
      <c r="J22" s="7"/>
      <c r="K22" s="579" t="s">
        <v>53</v>
      </c>
      <c r="L22" s="629"/>
      <c r="M22" s="598">
        <f>H22/128</f>
        <v>0.234375</v>
      </c>
      <c r="N22" s="599"/>
      <c r="O22" s="7"/>
      <c r="P22" s="618"/>
      <c r="Q22" s="7"/>
      <c r="R22" s="7"/>
      <c r="S22" s="7"/>
      <c r="T22" s="7"/>
      <c r="U22" s="7"/>
      <c r="V22" s="7"/>
      <c r="W22" s="7"/>
      <c r="X22" s="7"/>
      <c r="Y22" s="7"/>
    </row>
    <row r="23" spans="2:25" ht="7.15" customHeight="1" thickBot="1">
      <c r="B23" s="648"/>
      <c r="C23" s="650"/>
      <c r="D23" s="650"/>
      <c r="E23" s="652"/>
      <c r="F23" s="652"/>
      <c r="G23" s="652"/>
      <c r="H23" s="650"/>
      <c r="I23" s="654"/>
      <c r="J23" s="7"/>
      <c r="K23" s="580"/>
      <c r="L23" s="630"/>
      <c r="M23" s="643"/>
      <c r="N23" s="644"/>
      <c r="O23" s="7"/>
      <c r="P23" s="618"/>
      <c r="Q23" s="7"/>
      <c r="R23" s="605" t="str">
        <f>IF(OR(BNWCP!B4="EDGAR",BNWCP!B4="SABIN",BNWCP!B4="CYAN",BNWCP!B4="SHADOW",AND(BNWCP!B4="GOGO",S20&gt;0,S20&lt;5),X23="Blizzard"),"Skill Controls",IF(BNWCP!B4="SETZER","Dice","-"))</f>
        <v>-</v>
      </c>
      <c r="S23" s="606"/>
      <c r="T23" s="7"/>
      <c r="U23" s="605" t="str">
        <f>IF(OR(BNWCP!B4="EDGAR",AND(BNWCP!B4="GOGO",S20=1)),"AutoCrossbow",IF(OR(BNWCP!B4="SABIN",AND(BNWCP!B4="GOGO",S20=2)),"Aurabolt",IF(OR(BNWCP!B4="CYAN",AND(BNWCP!B4="GOGO",S20=3)),IF(S29=1,"Empowerer (HP)",(IF(S25=0,"Flurry","Tempest"))),IF(OR(BNWCP!B4="SHADOW",AND(BNWCP!B4="GOGO",S20=4)),"Elemental Scroll",IF(OR(BNWCP!B4="SETZER",AND(BNWCP!B4="GOGO",S20=5)),"Solitaire","-")))))</f>
        <v>-</v>
      </c>
      <c r="V23" s="606"/>
      <c r="W23" s="7"/>
      <c r="X23" s="605" t="str">
        <f>IF(OR(BNWCP!B4="EDGAR",AND(BNWCP!B4="GOGO",S20=1)),IF(S27=0,"Bio Blaster","Flash"),IF(OR(BNWCP!B4="SABIN",AND(BNWCP!B4="GOGO",S20=2)),IF(S27=0,"Fire Dance","Sonic Boom"),IF(BNWCP!B4="CYAN",IF(S29=1,"Empowerer (MP)",IF(S27=0,"Wind Blades","Eclipse")),IF(AND(BNWCP!B4="GOGO",S20=3),IF(S29=1,"Empowerer (MP)","Eclipse"),IF(BNWCP!B4="SHADOW","Wind Blades",IF(OR(BNWCP!B4="SETZER",AND(BNWCP!B4="GOGO",S20=5)),"Trifecta",IF(OR(BNWCP!B4="STRAGO",BNWCP!B4="RELM"),"Wind Breaker",IF(AND(BNWCP!B4="UMARO",OR(BNWCP!C25="Blizzard Orb",BNWCP!C26="Blizzard Orb")),"Blizzard","-"))))))))</f>
        <v>-</v>
      </c>
      <c r="Y23" s="606"/>
    </row>
    <row r="24" spans="2:25" ht="7.15" customHeight="1" thickBot="1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618"/>
      <c r="Q24" s="7"/>
      <c r="R24" s="607"/>
      <c r="S24" s="608"/>
      <c r="T24" s="7"/>
      <c r="U24" s="607"/>
      <c r="V24" s="608"/>
      <c r="W24" s="7"/>
      <c r="X24" s="607"/>
      <c r="Y24" s="608"/>
    </row>
    <row r="25" spans="2:25" ht="7.15" customHeight="1">
      <c r="B25" s="605" t="s">
        <v>54</v>
      </c>
      <c r="C25" s="609"/>
      <c r="D25" s="609"/>
      <c r="E25" s="609"/>
      <c r="F25" s="609"/>
      <c r="G25" s="611" t="s">
        <v>40</v>
      </c>
      <c r="H25" s="611"/>
      <c r="I25" s="612"/>
      <c r="J25" s="7"/>
      <c r="K25" s="605" t="s">
        <v>55</v>
      </c>
      <c r="L25" s="609"/>
      <c r="M25" s="609"/>
      <c r="N25" s="606"/>
      <c r="O25" s="7"/>
      <c r="P25" s="618"/>
      <c r="Q25" s="7"/>
      <c r="R25" s="615" t="str">
        <f>IF(OR(BNWCP!B4="EDGAR",AND(BNWCP!B4="GOGO",S20=1)),"  Schematics?",IF(OR(BNWCP!B4="SABIN",AND(BNWCP!B4="GOGO",S20=2)),"  Weakness? (AB)",IF(OR(BNWCP!B4="CYAN",AND(BNWCP!B4="GOGO",S20=3)),IF(S29=1,"  -",IF(S25=0,"  1 = Tempest","  0 = Flurry")),IF(OR(BNWCP!B4="SHADOW",AND(BNWCP!B4="GOGO",S20=4)),"  Multi-Target?",IF(AND(OR(U4="Dice",U4="Fixed Dice"),BNWCP!B4="SETZER"),"  Die Roll 1 (Avg = 5)",IF(X23="Blizzard","  Weakness?","  -"))))))</f>
        <v xml:space="preserve">  -</v>
      </c>
      <c r="S25" s="583">
        <v>0</v>
      </c>
      <c r="T25" s="7"/>
      <c r="U25" s="616" t="str">
        <f>IF(V25="N/A","  -",IF(OR(U23="Aurabolt",U23="Empowerer (HP)",U23="Solitaire",BNWCP!B4="SHADOW",AND(BNWCP!B4="GOGO",S20=4)),IF(VLOOKUP(B13,Enemies!B2:I322,8,0)=100,"  M.Def: 100  -----&gt;","  M.Def: 100"),IF(VLOOKUP(B13,Enemies!B2:I322,7,0)=100,"  Def: 100  --------&gt;","  Def: 100")))</f>
        <v xml:space="preserve">  -</v>
      </c>
      <c r="V25" s="617" t="str">
        <f>IF(OR(BNWCP!B4="EDGAR",AND(BNWCP!B4="GOGO",S20=1)),TRUNC(((IF(S25=0,180,270))+(C21*2)+(C20*C20*C21*(IF(S25=0,180,270))/6144))*(IF(U9="Physical (+)",1.25,1))*(IF(V9="Max",0.99,0.89))*0.6),IF(OR(BNWCP!B4="CYAN",AND(BNWCP!B4="GOGO",S20=3)),IF(U23="Empowerer (HP)",TRUNC((300+(75*C20*H21/32))*(1-(G6*0.5))*(IF(X9="Magical (+)",1.25,1))*(IF(Y9="Max",0.99,0.89))*0.6),TRUNC((BNWCP!L31*(IF(U23="Flurry",0.375,0.5)))+(C21*2)+(C20*C20*C21*BNWCP!L31*(IF(U23="Flurry",0.375,0.5))/6144)*(1-(G6*0.5))*(IF(U9="Physical (+)",1.25,1))*(IF(V9="Max",0.99,0.89))*4*0.6)),IF(OR(OR(BNWCP!B4="SABIN",AND(BNWCP!B4="GOGO",S20=2)),OR(BNWCP!B4="SETZER",AND(BNWCP!B4="GOGO",S20=5))),TRUNC((300+(75*C20*(IF(U23="Aurabolt",H22,H21))/32))*(IF(U23="Aurabolt",(1-(G6*0.5))*(S25+1),1))*(IF(X9="Magical (+)",1.25,1))*(IF(Y9="Max",0.99,0.89))*0.6),IF(U23="Elemental Scroll",TRUNC((400+(100*C20*H21/32))*(1-(S25*0.5))*(S29+1)*(IF(X9="Magical (+)",1.25,1))*(IF(Y9="Max",0.99,0.89))*0.6),"N/A"))))</f>
        <v>N/A</v>
      </c>
      <c r="W25" s="7"/>
      <c r="X25" s="616" t="str">
        <f>IF(Y25="N/A","  -",IF(VLOOKUP(B13,Enemies!B2:I322,8,0)=100,"  M.Def: 100  -----&gt;","  M.Def: 100"))</f>
        <v xml:space="preserve">  -</v>
      </c>
      <c r="Y25" s="617" t="str">
        <f>IF(X23="-","N/A",IF(X23="Empowerer (MP)",TRUNC(V25*0.25),IF(OR(X23="Wind Blades",X23="Wind Breaker"),IF(OR(U4="Kazekiri",U4="Mutsunokami",U4="Wind Breaker"),TRUNC((((IF(U4="Kazekiri",60,120))*4)+((IF(U4="Kazekiri",60,120))*C20*H22/32))*(IF(U6="-",1+VLOOKUP(U4,Stats!A17:N244,9,0),IF(BNWCP!L22=0,1,0.75)))*(((S4+S5)*0.5)+1)*(1-(G6*0.5))*(IF(X9="Magical (+)",1.25,1))*(IF(Y9="Max",0.99,0.89))*0.6),"N/A"),IF(X23="Blizzard",TRUNC((360+(C20*H22*90/32))*(S25+1)*1.25*(IF(Y9="Max",0.99,0.89))*0.6),TRUNC((((IF(X23="Bio Blaster",45,IF(OR(X23="Eclipse",X23="Trifecta"),90,60)))*4)+((IF(X23="Bio Blaster",45,IF(OR(X23="Eclipse",X23="Trifecta"),90,60)))*C20*(IF(X23="Sonic Boom",H22,H21))/32))*(IF(OR(AND(X23="Bio Blaster",S29=1),AND(X23="Fire Dance",S29=1)),2,1))*(IF(X9="Magical (+)",1.25,1))*(IF(Y9="Max",0.99,0.89))*0.6)))))</f>
        <v>N/A</v>
      </c>
    </row>
    <row r="26" spans="2:25" ht="7.15" customHeight="1">
      <c r="B26" s="607"/>
      <c r="C26" s="610"/>
      <c r="D26" s="610"/>
      <c r="E26" s="610"/>
      <c r="F26" s="610"/>
      <c r="G26" s="613"/>
      <c r="H26" s="613"/>
      <c r="I26" s="614"/>
      <c r="J26" s="7"/>
      <c r="K26" s="607"/>
      <c r="L26" s="610"/>
      <c r="M26" s="610"/>
      <c r="N26" s="608"/>
      <c r="O26" s="7"/>
      <c r="P26" s="618"/>
      <c r="Q26" s="7"/>
      <c r="R26" s="615"/>
      <c r="S26" s="583"/>
      <c r="T26" s="7"/>
      <c r="U26" s="616"/>
      <c r="V26" s="617"/>
      <c r="W26" s="7"/>
      <c r="X26" s="616"/>
      <c r="Y26" s="617"/>
    </row>
    <row r="27" spans="2:25" ht="7.15" customHeight="1">
      <c r="B27" s="594" t="s">
        <v>56</v>
      </c>
      <c r="C27" s="595" t="s">
        <v>57</v>
      </c>
      <c r="D27" s="595"/>
      <c r="E27" s="595"/>
      <c r="F27" s="595"/>
      <c r="G27" s="596">
        <f>TRUNC(((H19/64)+((H22*C20)/16))*(IF(U19="Morph",(IF((1-(H22/128))&lt;0.25,(1+(V20*0.25)),(1+(V20*(1-(H22/128)))))),1)))*(IF(G25="Max",0.99,0.89))</f>
        <v>1.98</v>
      </c>
      <c r="H27" s="596"/>
      <c r="I27" s="597"/>
      <c r="J27" s="7"/>
      <c r="K27" s="586" t="str">
        <f>IF(OR(VLOOKUP(U4,Stats!A17:N111,10,0)=1,BNWCP!C25="Knight Cape",BNWCP!C26="Knight Cape",BNWCP!C25="Hero Ring",BNWCP!C26="Hero Ring",AND(OR(BNWCP!B4="CELES",BNWCP!B4="GOGO"),OR(BNWCP!C25="Mystery Egg",BNWCP!C26="Mystery Egg"))),"  Cover","  -")</f>
        <v xml:space="preserve">  -</v>
      </c>
      <c r="L27" s="587"/>
      <c r="M27" s="598" t="str">
        <f>IF(K27="  Cover",H22/192,"N/A")</f>
        <v>N/A</v>
      </c>
      <c r="N27" s="599"/>
      <c r="O27" s="7"/>
      <c r="P27" s="618"/>
      <c r="Q27" s="7"/>
      <c r="R27" s="604" t="str">
        <f>IF(OR(BNWCP!B4="EDGAR",AND(BNWCP!B4="GOGO",S20=1)),(IF(S27=0,"  1 = Flash","  0 = Bio Blaster")),IF(OR(BNWCP!B4="SABIN",AND(BNWCP!B4="GOGO",S20=2)),(IF(S27=0,"  1 = Sonic Boom","  0 = Fire Dance")),IF(BNWCP!B4="CYAN",IF(S29=1,"  -",IF(S27=0,"  1 = Eclipse","  0 = Wind Dmg")),IF(OR(BNWCP!B4="SHADOW",AND(BNWCP!B4="GOGO",S20=4)),"  Weakness? (Phys)",IF(AND(OR(U4="Dice",U4="Fixed Dice"),BNWCP!B4="SETZER"),"  Die Roll 2 (Avg = 2)","  -")))))</f>
        <v xml:space="preserve">  -</v>
      </c>
      <c r="S27" s="583">
        <v>0</v>
      </c>
      <c r="T27" s="7"/>
      <c r="U27" s="584" t="str">
        <f>IF(V25="N/A","  -",IF(OR(U23="Aurabolt",U23="Empowerer (HP)",U23="Solitaire",BNWCP!B4="SHADOW",AND(BNWCP!B4="GOGO",S20=4)),IF(VLOOKUP(B13,Enemies!B2:I322,8,0)=150,"  M.Def: 150  -----&gt;","  M.Def: 150"),IF(VLOOKUP(B13,Enemies!B2:I322,7,0)=150,"  Def: 150  --------&gt;","  Def: 150")))</f>
        <v xml:space="preserve">  -</v>
      </c>
      <c r="V27" s="585" t="str">
        <f>IF(OR(BNWCP!B4="EDGAR",AND(BNWCP!B4="GOGO",S20=1)),TRUNC(((IF(S25=0,180,270))+(C21*2)+(C20*C20*C21*(IF(S25=0,180,270))/6144))*(IF(U9="Physical (+)",1.25,1))*(IF(V9="Max",0.99,0.89))*0.4),IF(OR(BNWCP!B4="CYAN",AND(BNWCP!B4="GOGO",S20=3)),IF(U23="Empowerer (HP)",TRUNC((300+(75*C20*H21/32))*(1-(G6*0.5))*(IF(X9="Magical (+)",1.25,1))*(IF(Y9="Max",0.99,0.89))*0.4),TRUNC((BNWCP!L31*(IF(U23="Flurry",0.375,0.5)))+(C21*2)+(C20*C20*C21*BNWCP!L31*(IF(U23="Flurry",0.375,0.5))/6144)*(1-(G6*0.5))*(IF(U9="Physical (+)",1.25,1))*(IF(V9="Max",0.99,0.89))*4*0.4)),IF(OR(OR(BNWCP!B4="SABIN",AND(BNWCP!B4="GOGO",S20=2)),OR(BNWCP!B4="SETZER",AND(BNWCP!B4="GOGO",S20=5))),TRUNC((300+(75*C20*(IF(U23="Aurabolt",H22,H21))/32))*(IF(U23="Aurabolt",(1-(G6*0.5))*(S25+1),1))*(IF(X9="Magical (+)",1.25,1))*(IF(Y9="Max",0.99,0.89))*0.4),IF(U23="Elemental Scroll",TRUNC((400+(100*C20*H21/32))*(1-(S25*0.5))*(S29+1)*(IF(X9="Magical (+)",1.25,1))*(IF(Y9="Max",0.99,0.89))*0.4),"N/A"))))</f>
        <v>N/A</v>
      </c>
      <c r="W27" s="7"/>
      <c r="X27" s="584" t="str">
        <f>IF(Y27="N/A","  -",IF(VLOOKUP(B13,Enemies!B2:I322,8,0)=150,"  M.Def: 150  -----&gt;","  M.Def: 150"))</f>
        <v xml:space="preserve">  -</v>
      </c>
      <c r="Y27" s="585" t="str">
        <f>IF(X23="-","N/A",IF(X23="Empowerer (MP)",TRUNC(V27*0.25),IF(OR(X23="Wind Blades",X23="Wind Breaker"),IF(OR(U4="Kazekiri",U4="Mutsunokami",U4="Wind Breaker"),TRUNC((((IF(U4="Kazekiri",60,120))*4)+((IF(U4="Kazekiri",60,120))*C20*H22/32))*(IF(U6="-",1+VLOOKUP(U4,Stats!A17:N244,9,0),IF(BNWCP!L22=0,1,0.75)))*(((S4+S5)*0.5)+1)*(1-(G6*0.5))*(IF(X9="Magical (+)",1.25,1))*(IF(Y9="Max",0.99,0.89))*0.4),"N/A"),IF(X23="Blizzard",TRUNC((360+(C20*H22*90/32))*(S25+1)*1.25*(IF(Y9="Max",0.99,0.89))*0.4),TRUNC((((IF(X23="Bio Blaster",45,IF(OR(X23="Eclipse",X23="Trifecta"),90,60)))*4)+((IF(X23="Bio Blaster",45,IF(OR(X23="Eclipse",X23="Trifecta"),90,60)))*C20*(IF(X23="Sonic Boom",H22,H21))/32))*(IF(OR(AND(X23="Bio Blaster",S29=1),AND(X23="Fire Dance",S29=1)),2,1))*(IF(X9="Magical (+)",1.25,1))*(IF(Y9="Max",0.99,0.89))*0.4)))))</f>
        <v>N/A</v>
      </c>
    </row>
    <row r="28" spans="2:25" ht="7.15" customHeight="1">
      <c r="B28" s="594"/>
      <c r="C28" s="595"/>
      <c r="D28" s="595"/>
      <c r="E28" s="595"/>
      <c r="F28" s="595"/>
      <c r="G28" s="596"/>
      <c r="H28" s="596"/>
      <c r="I28" s="597"/>
      <c r="J28" s="7"/>
      <c r="K28" s="586"/>
      <c r="L28" s="587"/>
      <c r="M28" s="598"/>
      <c r="N28" s="599"/>
      <c r="O28" s="7"/>
      <c r="P28" s="618"/>
      <c r="Q28" s="7"/>
      <c r="R28" s="604"/>
      <c r="S28" s="583"/>
      <c r="T28" s="7"/>
      <c r="U28" s="584"/>
      <c r="V28" s="585"/>
      <c r="W28" s="7"/>
      <c r="X28" s="584"/>
      <c r="Y28" s="585"/>
    </row>
    <row r="29" spans="2:25" ht="7.15" customHeight="1">
      <c r="B29" s="627">
        <v>100</v>
      </c>
      <c r="C29" s="629" t="s">
        <v>58</v>
      </c>
      <c r="D29" s="629"/>
      <c r="E29" s="629"/>
      <c r="F29" s="629"/>
      <c r="G29" s="631">
        <f>TRUNC((H19/(16+(H22/8)))*(IF(G25="Max",((255-H22)/225),((225-(H22*0.75))/225)))*(IF(U19="Morph",(IF((1-(H22/128))&lt;0.25,(1+(V20*0.25)),(1+(V20*(1-(H22/128)))))),1)))</f>
        <v>3</v>
      </c>
      <c r="H29" s="631"/>
      <c r="I29" s="632"/>
      <c r="J29" s="7"/>
      <c r="K29" s="586" t="str">
        <f>IF(OR(U4="Scimitar",U6="Scimitar",U4="Falchion",U6="Falchion",U4="Zantetsuken",U4="Kotetsu",U4="Murasame",U4="Masamune",BNWCP!C23="Ninja Mask",BNWCP!C25="Black Belt",BNWCP!C26="Black Belt",AND(OR(BNWCP!B4="CELES",BNWCP!B4="GOGO"),OR(BNWCP!C25="Mystery Egg",BNWCP!C26="Mystery Egg"))),"  Counter","  -")</f>
        <v xml:space="preserve">  -</v>
      </c>
      <c r="L29" s="587"/>
      <c r="M29" s="590" t="str">
        <f>IF(K29="  Counter",IF(((H22+32)/128)&gt;1,1,(H22+32)/128),"N/A")</f>
        <v>N/A</v>
      </c>
      <c r="N29" s="591"/>
      <c r="O29" s="8"/>
      <c r="P29" s="618"/>
      <c r="Q29" s="8"/>
      <c r="R29" s="600" t="str">
        <f>IF(OR(BNWCP!B4="EDGAR",AND(BNWCP!B4="GOGO",S20=1)),(IF(S27=0,"  Weakness?","  -")),IF(OR(BNWCP!B4="SABIN",AND(BNWCP!B4="GOGO",S20=2)),(IF(S27=0,"  Weakness? (FD)","  -")),IF(OR(BNWCP!B4="CYAN",AND(BNWCP!B4="GOGO",S20=3)),(IF(S29=1,"  0 = Other Attacks","  1 = Empowerer")),IF(OR(BNWCP!B4="SHADOW",AND(BNWCP!B4="GOGO",S20=4)),"  Weakness? (Mag)",IF(AND(U4="Fixed Dice",BNWCP!B4="SETZER"),"  Die Roll 3 (Avg = 3)","  -")))))</f>
        <v xml:space="preserve">  -</v>
      </c>
      <c r="S29" s="602">
        <v>0</v>
      </c>
      <c r="T29" s="7"/>
      <c r="U29" s="579" t="str">
        <f>IF(V25="N/A","  -",IF(OR(U23="Aurabolt",U23="Empowerer (HP)",U23="Solitaire",BNWCP!B4="SHADOW",AND(BNWCP!B4="GOGO",S20=4)),IF(VLOOKUP(B13,Enemies!B2:I322,8,0)="Shell","  M.Def: (Shell)  --&gt;","  M.Def: (Shell)"),IF(VLOOKUP(B13,Enemies!B2:I322,7,0)="Safe","  Def: (Safe) -----&gt;","  Def: (Safe)")))</f>
        <v xml:space="preserve">  -</v>
      </c>
      <c r="V29" s="581" t="str">
        <f>IF(OR(BNWCP!B4="EDGAR",AND(BNWCP!B4="GOGO",S20=1)),TRUNC(((IF(S25=0,180,270))+(C21*2)+(C20*C20*C21*(IF(S25=0,180,270))/6144))*(IF(U9="Physical (+)",1.25,1))*(IF(V9="Max",0.99,0.89))*0.25),IF(OR(BNWCP!B4="CYAN",AND(BNWCP!B4="GOGO",S20=3)),IF(U23="Empowerer (HP)",TRUNC((300+(75*C20*H21/32))*(1-(G6*0.5))*(IF(X9="Magical (+)",1.25,1))*(IF(Y9="Max",0.99,0.89))*0.25),TRUNC((BNWCP!L31*(IF(U23="Flurry",0.375,0.5)))+(C21*2)+(C20*C20*C21*BNWCP!L31*(IF(U23="Flurry",0.375,0.5))/6144)*(1-(G6*0.5))*(IF(U9="Physical (+)",1.25,1))*(IF(V9="Max",0.99,0.89))*4*0.25)),IF(OR(OR(BNWCP!B4="SABIN",AND(BNWCP!B4="GOGO",S20=2)),OR(BNWCP!B4="SETZER",AND(BNWCP!B4="GOGO",S20=5))),TRUNC((300+(75*C20*(IF(U23="Aurabolt",H22,H21))/32))*(IF(U23="Aurabolt",(1-(G6*0.5))*(S25+1),1))*(IF(X9="Magical (+)",1.25,1))*(IF(Y9="Max",0.99,0.89))*0.25),IF(U23="Elemental Scroll",TRUNC((400+(100*C20*H21/32))*(1-(S25*0.5))*(S29+1)*(IF(X9="Magical (+)",1.25,1))*(IF(Y9="Max",0.99,0.89))*0.25),"N/A"))))</f>
        <v>N/A</v>
      </c>
      <c r="W29" s="7"/>
      <c r="X29" s="579" t="str">
        <f>IF(Y29="N/A","  -",IF(VLOOKUP(B13,Enemies!B2:I322,8,0)="Shell","  M.Def: (Shell) --&gt;","  M.Def: (Shell)"))</f>
        <v xml:space="preserve">  -</v>
      </c>
      <c r="Y29" s="581" t="str">
        <f>IF(X23="-","N/A",IF(X23="Empowerer (MP)",TRUNC(V29*0.25),IF(OR(X23="Wind Blades",X23="Wind Breaker"),IF(OR(U4="Kazekiri",U4="Mutsunokami",U4="Wind Breaker"),TRUNC((((IF(U4="Kazekiri",60,120))*4)+((IF(U4="Kazekiri",60,120))*C20*H22/32))*(IF(U6="-",1+VLOOKUP(U4,Stats!A17:N244,9,0),IF(BNWCP!L22=0,1,0.75)))*(((S4+S5)*0.5)+1)*(1-(G6*0.5))*(IF(X9="Magical (+)",1.25,1))*(IF(Y9="Max",0.99,0.89))*0.25),"N/A"),IF(X23="Blizzard",TRUNC((360+(C20*H22*90/32))*(S25+1)*1.25*(IF(Y9="Max",0.99,0.89))*0.25),TRUNC((((IF(X23="Bio Blaster",45,IF(OR(X23="Eclipse",X23="Trifecta"),90,60)))*4)+((IF(X23="Bio Blaster",45,IF(OR(X23="Eclipse",X23="Trifecta"),90,60)))*C20*(IF(X23="Sonic Boom",H22,H21))/32))*(IF(OR(AND(X23="Bio Blaster",S29=1),AND(X23="Fire Dance",S29=1)),2,1))*(IF(X9="Magical (+)",1.25,1))*(IF(Y9="Max",0.99,0.89))*0.25)))))</f>
        <v>N/A</v>
      </c>
    </row>
    <row r="30" spans="2:25" ht="7.15" customHeight="1" thickBot="1">
      <c r="B30" s="628"/>
      <c r="C30" s="630"/>
      <c r="D30" s="630"/>
      <c r="E30" s="630"/>
      <c r="F30" s="630"/>
      <c r="G30" s="633"/>
      <c r="H30" s="633"/>
      <c r="I30" s="634"/>
      <c r="J30" s="8"/>
      <c r="K30" s="588"/>
      <c r="L30" s="589"/>
      <c r="M30" s="592"/>
      <c r="N30" s="593"/>
      <c r="O30" s="8"/>
      <c r="P30" s="619"/>
      <c r="Q30" s="8"/>
      <c r="R30" s="601"/>
      <c r="S30" s="603"/>
      <c r="T30" s="8"/>
      <c r="U30" s="580"/>
      <c r="V30" s="582"/>
      <c r="W30" s="8"/>
      <c r="X30" s="580"/>
      <c r="Y30" s="582"/>
    </row>
  </sheetData>
  <sheetProtection sheet="1" objects="1" scenarios="1" selectLockedCells="1"/>
  <mergeCells count="102">
    <mergeCell ref="B6:F6"/>
    <mergeCell ref="G6:I6"/>
    <mergeCell ref="K6:M6"/>
    <mergeCell ref="B7:F7"/>
    <mergeCell ref="G7:I7"/>
    <mergeCell ref="K7:M7"/>
    <mergeCell ref="B2:N2"/>
    <mergeCell ref="P2:P16"/>
    <mergeCell ref="R2:Y2"/>
    <mergeCell ref="B4:F4"/>
    <mergeCell ref="G4:I4"/>
    <mergeCell ref="K4:M4"/>
    <mergeCell ref="R4:S4"/>
    <mergeCell ref="B5:F5"/>
    <mergeCell ref="G5:I5"/>
    <mergeCell ref="K5:M5"/>
    <mergeCell ref="R7:S7"/>
    <mergeCell ref="X7:Y7"/>
    <mergeCell ref="B9:I9"/>
    <mergeCell ref="K9:N9"/>
    <mergeCell ref="R9:S9"/>
    <mergeCell ref="B10:C11"/>
    <mergeCell ref="D10:E11"/>
    <mergeCell ref="F10:I11"/>
    <mergeCell ref="U21:V21"/>
    <mergeCell ref="B22:B23"/>
    <mergeCell ref="C22:D23"/>
    <mergeCell ref="E22:G23"/>
    <mergeCell ref="H22:I23"/>
    <mergeCell ref="U10:V11"/>
    <mergeCell ref="X10:Y11"/>
    <mergeCell ref="R11:R12"/>
    <mergeCell ref="S11:S12"/>
    <mergeCell ref="B13:E13"/>
    <mergeCell ref="F13:H13"/>
    <mergeCell ref="K13:N13"/>
    <mergeCell ref="B17:O17"/>
    <mergeCell ref="Q17:Y17"/>
    <mergeCell ref="K10:K11"/>
    <mergeCell ref="L10:L11"/>
    <mergeCell ref="C14:E14"/>
    <mergeCell ref="F14:H14"/>
    <mergeCell ref="K14:M14"/>
    <mergeCell ref="C15:E15"/>
    <mergeCell ref="F15:H15"/>
    <mergeCell ref="K15:M15"/>
    <mergeCell ref="M10:N11"/>
    <mergeCell ref="H20:I20"/>
    <mergeCell ref="K20:L20"/>
    <mergeCell ref="M20:N20"/>
    <mergeCell ref="C21:D21"/>
    <mergeCell ref="E21:G21"/>
    <mergeCell ref="H21:I21"/>
    <mergeCell ref="K21:L21"/>
    <mergeCell ref="M21:N21"/>
    <mergeCell ref="R21:S21"/>
    <mergeCell ref="K22:L23"/>
    <mergeCell ref="M22:N23"/>
    <mergeCell ref="R23:S24"/>
    <mergeCell ref="U23:V24"/>
    <mergeCell ref="X23:Y24"/>
    <mergeCell ref="B25:F26"/>
    <mergeCell ref="G25:I26"/>
    <mergeCell ref="K25:N26"/>
    <mergeCell ref="R25:R26"/>
    <mergeCell ref="S25:S26"/>
    <mergeCell ref="U25:U26"/>
    <mergeCell ref="V25:V26"/>
    <mergeCell ref="X25:X26"/>
    <mergeCell ref="Y25:Y26"/>
    <mergeCell ref="P18:P30"/>
    <mergeCell ref="B19:D19"/>
    <mergeCell ref="E19:G19"/>
    <mergeCell ref="H19:I19"/>
    <mergeCell ref="K19:N19"/>
    <mergeCell ref="R19:S19"/>
    <mergeCell ref="U19:V19"/>
    <mergeCell ref="X19:Y19"/>
    <mergeCell ref="C20:D20"/>
    <mergeCell ref="E20:G20"/>
    <mergeCell ref="B29:B30"/>
    <mergeCell ref="C29:F30"/>
    <mergeCell ref="G29:I30"/>
    <mergeCell ref="K29:L30"/>
    <mergeCell ref="M29:N30"/>
    <mergeCell ref="B27:B28"/>
    <mergeCell ref="C27:F28"/>
    <mergeCell ref="G27:I28"/>
    <mergeCell ref="K27:L28"/>
    <mergeCell ref="M27:N28"/>
    <mergeCell ref="R29:R30"/>
    <mergeCell ref="S29:S30"/>
    <mergeCell ref="R27:R28"/>
    <mergeCell ref="U29:U30"/>
    <mergeCell ref="V29:V30"/>
    <mergeCell ref="X29:X30"/>
    <mergeCell ref="Y29:Y30"/>
    <mergeCell ref="S27:S28"/>
    <mergeCell ref="U27:U28"/>
    <mergeCell ref="V27:V28"/>
    <mergeCell ref="X27:X28"/>
    <mergeCell ref="Y27:Y28"/>
  </mergeCells>
  <conditionalFormatting sqref="U10">
    <cfRule type="cellIs" dxfId="29" priority="22" stopIfTrue="1" operator="notEqual">
      <formula>V13</formula>
    </cfRule>
  </conditionalFormatting>
  <conditionalFormatting sqref="X10">
    <cfRule type="cellIs" dxfId="28" priority="33" stopIfTrue="1" operator="notEqual">
      <formula>Y13</formula>
    </cfRule>
  </conditionalFormatting>
  <conditionalFormatting sqref="K7">
    <cfRule type="cellIs" dxfId="27" priority="11" stopIfTrue="1" operator="equal">
      <formula>"  # of Allies (!)"</formula>
    </cfRule>
  </conditionalFormatting>
  <conditionalFormatting sqref="K7">
    <cfRule type="cellIs" dxfId="26" priority="12" stopIfTrue="1" operator="equal">
      <formula>"  # of Steps (!)"</formula>
    </cfRule>
  </conditionalFormatting>
  <conditionalFormatting sqref="B6">
    <cfRule type="cellIs" dxfId="25" priority="4" stopIfTrue="1" operator="equal">
      <formula>"  Back Row (!)"</formula>
    </cfRule>
  </conditionalFormatting>
  <conditionalFormatting sqref="B7">
    <cfRule type="cellIs" dxfId="24" priority="5" stopIfTrue="1" operator="equal">
      <formula>"  Defend (!)"</formula>
    </cfRule>
  </conditionalFormatting>
  <conditionalFormatting sqref="K7">
    <cfRule type="cellIs" dxfId="23" priority="10" stopIfTrue="1" operator="equal">
      <formula>"  Multi-Target (!)"</formula>
    </cfRule>
  </conditionalFormatting>
  <conditionalFormatting sqref="X6">
    <cfRule type="cellIs" dxfId="22" priority="31" stopIfTrue="1" operator="equal">
      <formula>"  Multi-Target (!)"</formula>
    </cfRule>
  </conditionalFormatting>
  <conditionalFormatting sqref="K6">
    <cfRule type="cellIs" dxfId="21" priority="7" stopIfTrue="1" operator="equal">
      <formula>"  Resistance (!)"</formula>
    </cfRule>
  </conditionalFormatting>
  <conditionalFormatting sqref="X5">
    <cfRule type="cellIs" dxfId="20" priority="30" stopIfTrue="1" operator="equal">
      <formula>"  Resistance (!)"</formula>
    </cfRule>
  </conditionalFormatting>
  <conditionalFormatting sqref="X6">
    <cfRule type="cellIs" dxfId="19" priority="32" stopIfTrue="1" operator="equal">
      <formula>"  Rod Crit (!)"</formula>
    </cfRule>
  </conditionalFormatting>
  <conditionalFormatting sqref="B5">
    <cfRule type="cellIs" dxfId="18" priority="3" stopIfTrue="1" operator="equal">
      <formula>"  Safe (!)"</formula>
    </cfRule>
  </conditionalFormatting>
  <conditionalFormatting sqref="K5">
    <cfRule type="cellIs" dxfId="17" priority="6" stopIfTrue="1" operator="equal">
      <formula>"  Shell (!)"</formula>
    </cfRule>
  </conditionalFormatting>
  <conditionalFormatting sqref="K6">
    <cfRule type="cellIs" dxfId="16" priority="9" stopIfTrue="1" operator="equal">
      <formula>"  Target's LV (!)"</formula>
    </cfRule>
  </conditionalFormatting>
  <conditionalFormatting sqref="X5">
    <cfRule type="cellIs" dxfId="15" priority="29" stopIfTrue="1" operator="equal">
      <formula>"  Weak/Resist (!)"</formula>
    </cfRule>
  </conditionalFormatting>
  <conditionalFormatting sqref="K6">
    <cfRule type="cellIs" dxfId="14" priority="8" stopIfTrue="1" operator="equal">
      <formula>"  Weakness (!)"</formula>
    </cfRule>
  </conditionalFormatting>
  <conditionalFormatting sqref="X5">
    <cfRule type="cellIs" dxfId="13" priority="28" stopIfTrue="1" operator="equal">
      <formula>"  Weakness (!)"</formula>
    </cfRule>
  </conditionalFormatting>
  <conditionalFormatting sqref="Y21">
    <cfRule type="cellIs" dxfId="12" priority="42" stopIfTrue="1" operator="equal">
      <formula>"(255)"</formula>
    </cfRule>
  </conditionalFormatting>
  <conditionalFormatting sqref="Y20">
    <cfRule type="cellIs" dxfId="11" priority="38" stopIfTrue="1" operator="equal">
      <formula>"(90)"</formula>
    </cfRule>
  </conditionalFormatting>
  <conditionalFormatting sqref="U10">
    <cfRule type="cellIs" dxfId="10" priority="21" stopIfTrue="1" operator="equal">
      <formula>"JUMPING WITH TWO WEAPONS IS DUMB"</formula>
    </cfRule>
  </conditionalFormatting>
  <conditionalFormatting sqref="R21 U21 Y21 V25 Y25 V27 Y27 V29 Y29">
    <cfRule type="cellIs" dxfId="9" priority="17" stopIfTrue="1" operator="equal">
      <formula>"N/A"</formula>
    </cfRule>
  </conditionalFormatting>
  <conditionalFormatting sqref="R7 X7 M27 M29">
    <cfRule type="cellIs" dxfId="8" priority="13" stopIfTrue="1" operator="equal">
      <formula>"N/A"</formula>
    </cfRule>
  </conditionalFormatting>
  <conditionalFormatting sqref="Y20">
    <cfRule type="cellIs" dxfId="7" priority="37" stopIfTrue="1" operator="equal">
      <formula>"N/A"</formula>
    </cfRule>
  </conditionalFormatting>
  <conditionalFormatting sqref="U10">
    <cfRule type="cellIs" dxfId="6" priority="20" stopIfTrue="1" operator="equal">
      <formula>" WHAT IS WRONG WITH YOU"</formula>
    </cfRule>
  </conditionalFormatting>
  <conditionalFormatting sqref="V13">
    <cfRule type="cellIs" dxfId="5" priority="23" stopIfTrue="1" operator="equal">
      <formula>U10</formula>
    </cfRule>
  </conditionalFormatting>
  <conditionalFormatting sqref="V14">
    <cfRule type="cellIs" dxfId="4" priority="24" stopIfTrue="1" operator="equal">
      <formula>U10</formula>
    </cfRule>
  </conditionalFormatting>
  <conditionalFormatting sqref="V15">
    <cfRule type="cellIs" dxfId="3" priority="25" stopIfTrue="1" operator="equal">
      <formula>U10</formula>
    </cfRule>
  </conditionalFormatting>
  <conditionalFormatting sqref="Y13">
    <cfRule type="cellIs" dxfId="2" priority="34" stopIfTrue="1" operator="equal">
      <formula>X10</formula>
    </cfRule>
  </conditionalFormatting>
  <conditionalFormatting sqref="Y14">
    <cfRule type="cellIs" dxfId="1" priority="35" stopIfTrue="1" operator="equal">
      <formula>X10</formula>
    </cfRule>
  </conditionalFormatting>
  <conditionalFormatting sqref="Y15">
    <cfRule type="cellIs" dxfId="0" priority="36" stopIfTrue="1" operator="equal">
      <formula>X10</formula>
    </cfRule>
  </conditionalFormatting>
  <dataValidations count="2">
    <dataValidation type="list" allowBlank="1" sqref="V9 G25 Y9" xr:uid="{00000000-0002-0000-0100-000000000000}">
      <formula1>"Max,Min"</formula1>
    </dataValidation>
    <dataValidation allowBlank="1" showErrorMessage="1" sqref="U9 X9" xr:uid="{00000000-0002-0000-0100-000002000000}"/>
  </dataValidations>
  <printOptions horizontalCentered="1" verticalCentered="1"/>
  <pageMargins left="0.1701" right="0.1701" top="0.46579999999999999" bottom="0.46579999999999999" header="0.1701" footer="0.1701"/>
  <pageSetup paperSize="0" fitToWidth="0" fitToHeight="0" pageOrder="overThenDown" orientation="landscape" horizontalDpi="0" verticalDpi="0" copies="0"/>
  <headerFooter alignWithMargins="0"/>
  <ignoredErrors>
    <ignoredError sqref="U6" formula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100-000003000000}">
          <x14:formula1>
            <xm:f>Enemies!$A$2:$A$495</xm:f>
          </x14:formula1>
          <xm:sqref>B13</xm:sqref>
        </x14:dataValidation>
        <x14:dataValidation type="list" xr:uid="{F16BE086-40E4-40C1-BB5C-152618FCE815}">
          <x14:formula1>
            <xm:f>Enemies!$J$1:$M$1</xm:f>
          </x14:formula1>
          <xm:sqref>K14:M14</xm:sqref>
        </x14:dataValidation>
        <x14:dataValidation type="list" xr:uid="{00000000-0002-0000-0100-000005000000}">
          <x14:formula1>
            <xm:f>Enemies!$N$1:$AN$1</xm:f>
          </x14:formula1>
          <xm:sqref>K15</xm:sqref>
        </x14:dataValidation>
        <x14:dataValidation type="list" allowBlank="1" showErrorMessage="1" xr:uid="{00000000-0002-0000-0100-000001000000}">
          <x14:formula1>
            <xm:f>INDIRECT(BNWCP!B4&amp;"_spells")</xm:f>
          </x14:formula1>
          <xm:sqref>X4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J1048576"/>
  <sheetViews>
    <sheetView zoomScale="175" zoomScaleNormal="175" workbookViewId="0"/>
  </sheetViews>
  <sheetFormatPr defaultRowHeight="10.9" customHeight="1"/>
  <cols>
    <col min="1" max="14" width="8.7109375" style="9" customWidth="1"/>
    <col min="15" max="256" width="6.140625" style="9" customWidth="1"/>
    <col min="257" max="1024" width="12.28515625" style="10" customWidth="1"/>
  </cols>
  <sheetData>
    <row r="1" spans="1:14" ht="12.95" customHeight="1" thickBot="1">
      <c r="A1" s="282" t="s">
        <v>2</v>
      </c>
      <c r="B1" s="283" t="s">
        <v>59</v>
      </c>
      <c r="C1" s="283" t="s">
        <v>60</v>
      </c>
      <c r="D1" s="283" t="s">
        <v>61</v>
      </c>
      <c r="E1" s="283" t="s">
        <v>62</v>
      </c>
      <c r="F1" s="283" t="s">
        <v>63</v>
      </c>
      <c r="G1" s="283" t="s">
        <v>64</v>
      </c>
      <c r="H1" s="283" t="s">
        <v>65</v>
      </c>
      <c r="I1" s="283" t="s">
        <v>66</v>
      </c>
      <c r="J1" s="283" t="s">
        <v>67</v>
      </c>
      <c r="K1" s="283" t="s">
        <v>68</v>
      </c>
      <c r="L1" s="283" t="s">
        <v>69</v>
      </c>
      <c r="M1" s="283" t="s">
        <v>70</v>
      </c>
      <c r="N1" s="284" t="s">
        <v>71</v>
      </c>
    </row>
    <row r="2" spans="1:14" ht="10.9" customHeight="1">
      <c r="A2" s="11" t="s">
        <v>25</v>
      </c>
      <c r="B2" s="11" t="s">
        <v>25</v>
      </c>
      <c r="C2" s="11" t="s">
        <v>25</v>
      </c>
      <c r="D2" s="11" t="s">
        <v>25</v>
      </c>
      <c r="E2" s="11" t="s">
        <v>25</v>
      </c>
      <c r="F2" s="11" t="s">
        <v>25</v>
      </c>
      <c r="G2" s="11" t="s">
        <v>25</v>
      </c>
      <c r="H2" s="11" t="s">
        <v>25</v>
      </c>
      <c r="I2" s="11" t="s">
        <v>25</v>
      </c>
      <c r="J2" s="11" t="s">
        <v>25</v>
      </c>
      <c r="K2" s="11" t="s">
        <v>25</v>
      </c>
      <c r="L2" s="11" t="s">
        <v>25</v>
      </c>
      <c r="M2" s="11" t="s">
        <v>25</v>
      </c>
      <c r="N2" s="11" t="s">
        <v>25</v>
      </c>
    </row>
    <row r="3" spans="1:14" ht="10.9" customHeight="1">
      <c r="A3" s="12" t="s">
        <v>15</v>
      </c>
      <c r="B3" s="12" t="s">
        <v>72</v>
      </c>
      <c r="C3" s="12" t="s">
        <v>72</v>
      </c>
      <c r="D3" s="12" t="s">
        <v>73</v>
      </c>
      <c r="E3" s="12" t="s">
        <v>74</v>
      </c>
      <c r="F3" s="12" t="s">
        <v>75</v>
      </c>
      <c r="G3" s="12" t="s">
        <v>76</v>
      </c>
      <c r="H3" s="12" t="s">
        <v>74</v>
      </c>
      <c r="I3" s="12" t="s">
        <v>77</v>
      </c>
      <c r="J3" s="12" t="s">
        <v>16</v>
      </c>
      <c r="K3" s="12" t="s">
        <v>78</v>
      </c>
      <c r="L3" s="12" t="s">
        <v>79</v>
      </c>
      <c r="M3" s="12"/>
      <c r="N3" s="12"/>
    </row>
    <row r="4" spans="1:14" ht="10.9" customHeight="1">
      <c r="A4" s="12" t="s">
        <v>16</v>
      </c>
      <c r="B4" s="12" t="s">
        <v>73</v>
      </c>
      <c r="C4" s="12" t="s">
        <v>75</v>
      </c>
      <c r="D4" s="12" t="s">
        <v>15</v>
      </c>
      <c r="E4" s="12" t="s">
        <v>80</v>
      </c>
      <c r="F4" s="12" t="s">
        <v>18</v>
      </c>
      <c r="G4" s="12" t="s">
        <v>81</v>
      </c>
      <c r="H4" s="12" t="s">
        <v>81</v>
      </c>
      <c r="I4" s="12" t="s">
        <v>82</v>
      </c>
      <c r="J4" s="12" t="s">
        <v>77</v>
      </c>
      <c r="K4" s="12" t="s">
        <v>17</v>
      </c>
      <c r="L4" s="12" t="s">
        <v>83</v>
      </c>
      <c r="M4" s="12"/>
      <c r="N4" s="12"/>
    </row>
    <row r="5" spans="1:14" ht="10.9" customHeight="1">
      <c r="A5" s="12" t="s">
        <v>17</v>
      </c>
      <c r="B5" s="12" t="s">
        <v>78</v>
      </c>
      <c r="C5" s="12" t="s">
        <v>79</v>
      </c>
      <c r="D5" s="12" t="s">
        <v>80</v>
      </c>
      <c r="E5" s="12" t="s">
        <v>84</v>
      </c>
      <c r="F5" s="12" t="s">
        <v>85</v>
      </c>
      <c r="G5" s="12"/>
      <c r="H5" s="12"/>
      <c r="I5" s="12" t="s">
        <v>86</v>
      </c>
      <c r="J5" s="12" t="s">
        <v>87</v>
      </c>
      <c r="K5" s="12" t="s">
        <v>83</v>
      </c>
      <c r="L5" s="12" t="s">
        <v>86</v>
      </c>
      <c r="M5" s="12"/>
      <c r="N5" s="12"/>
    </row>
    <row r="6" spans="1:14" ht="10.9" customHeight="1">
      <c r="A6" s="12" t="s">
        <v>18</v>
      </c>
      <c r="B6" s="12" t="s">
        <v>76</v>
      </c>
      <c r="C6" s="12" t="s">
        <v>20</v>
      </c>
      <c r="D6" s="12" t="s">
        <v>87</v>
      </c>
      <c r="E6" s="12"/>
      <c r="F6" s="12"/>
      <c r="G6" s="12"/>
      <c r="H6" s="12"/>
      <c r="I6" s="12"/>
      <c r="J6" s="12" t="s">
        <v>84</v>
      </c>
      <c r="K6" s="12" t="s">
        <v>88</v>
      </c>
      <c r="L6" s="12" t="s">
        <v>89</v>
      </c>
      <c r="M6" s="12"/>
      <c r="N6" s="12"/>
    </row>
    <row r="7" spans="1:14" ht="10.9" customHeight="1">
      <c r="A7" s="12" t="s">
        <v>19</v>
      </c>
      <c r="B7" s="12" t="s">
        <v>82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</row>
    <row r="8" spans="1:14" ht="10.9" customHeight="1">
      <c r="A8" s="12" t="s">
        <v>20</v>
      </c>
      <c r="B8" s="12" t="s">
        <v>85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14" ht="10.9" customHeight="1">
      <c r="A9" s="12" t="s">
        <v>21</v>
      </c>
      <c r="B9" s="12" t="s">
        <v>90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14" ht="10.9" customHeight="1" thickBot="1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14" ht="12.95" customHeight="1" thickBot="1">
      <c r="A11" s="282" t="s">
        <v>2</v>
      </c>
      <c r="B11" s="283" t="s">
        <v>59</v>
      </c>
      <c r="C11" s="283" t="s">
        <v>60</v>
      </c>
      <c r="D11" s="283" t="s">
        <v>61</v>
      </c>
      <c r="E11" s="283" t="s">
        <v>62</v>
      </c>
      <c r="F11" s="283" t="s">
        <v>63</v>
      </c>
      <c r="G11" s="283" t="s">
        <v>64</v>
      </c>
      <c r="H11" s="283" t="s">
        <v>65</v>
      </c>
      <c r="I11" s="283" t="s">
        <v>66</v>
      </c>
      <c r="J11" s="283" t="s">
        <v>67</v>
      </c>
      <c r="K11" s="283" t="s">
        <v>68</v>
      </c>
      <c r="L11" s="283" t="s">
        <v>69</v>
      </c>
      <c r="M11" s="283" t="s">
        <v>70</v>
      </c>
      <c r="N11" s="284" t="s">
        <v>71</v>
      </c>
    </row>
    <row r="12" spans="1:14" ht="10.9" customHeight="1">
      <c r="A12" s="11" t="s">
        <v>25</v>
      </c>
      <c r="B12" s="11" t="s">
        <v>25</v>
      </c>
      <c r="C12" s="11" t="s">
        <v>25</v>
      </c>
      <c r="D12" s="11" t="s">
        <v>25</v>
      </c>
      <c r="E12" s="11" t="s">
        <v>25</v>
      </c>
      <c r="F12" s="11" t="s">
        <v>25</v>
      </c>
      <c r="G12" s="11" t="s">
        <v>25</v>
      </c>
      <c r="H12" s="11" t="s">
        <v>25</v>
      </c>
      <c r="I12" s="11" t="s">
        <v>25</v>
      </c>
      <c r="J12" s="11" t="s">
        <v>25</v>
      </c>
      <c r="K12" s="11" t="s">
        <v>25</v>
      </c>
      <c r="L12" s="11" t="s">
        <v>25</v>
      </c>
      <c r="M12" s="11" t="s">
        <v>25</v>
      </c>
      <c r="N12" s="11" t="s">
        <v>25</v>
      </c>
    </row>
    <row r="13" spans="1:14" ht="10.9" customHeight="1">
      <c r="A13" s="11" t="s">
        <v>91</v>
      </c>
      <c r="B13" s="11" t="s">
        <v>91</v>
      </c>
      <c r="C13" s="11" t="s">
        <v>91</v>
      </c>
      <c r="D13" s="11" t="s">
        <v>91</v>
      </c>
      <c r="E13" s="11" t="s">
        <v>93</v>
      </c>
      <c r="F13" s="11" t="s">
        <v>94</v>
      </c>
      <c r="G13" s="11" t="s">
        <v>101</v>
      </c>
      <c r="H13" s="11" t="s">
        <v>95</v>
      </c>
      <c r="I13" s="11" t="s">
        <v>101</v>
      </c>
      <c r="J13" s="11" t="s">
        <v>96</v>
      </c>
      <c r="K13" s="11" t="s">
        <v>97</v>
      </c>
      <c r="L13" s="11" t="s">
        <v>97</v>
      </c>
      <c r="M13" s="11" t="s">
        <v>101</v>
      </c>
      <c r="N13" s="11" t="s">
        <v>95</v>
      </c>
    </row>
    <row r="14" spans="1:14" ht="10.9" customHeight="1">
      <c r="A14" s="11" t="s">
        <v>98</v>
      </c>
      <c r="B14" s="11" t="s">
        <v>98</v>
      </c>
      <c r="C14" s="11" t="s">
        <v>98</v>
      </c>
      <c r="D14" s="11" t="s">
        <v>98</v>
      </c>
      <c r="E14" s="11" t="s">
        <v>99</v>
      </c>
      <c r="F14" s="11" t="s">
        <v>100</v>
      </c>
      <c r="G14" s="11" t="s">
        <v>108</v>
      </c>
      <c r="H14" s="11" t="s">
        <v>102</v>
      </c>
      <c r="I14" s="11" t="s">
        <v>108</v>
      </c>
      <c r="J14" s="11" t="s">
        <v>103</v>
      </c>
      <c r="K14" s="11" t="s">
        <v>104</v>
      </c>
      <c r="L14" s="11" t="s">
        <v>104</v>
      </c>
      <c r="M14" s="11" t="s">
        <v>108</v>
      </c>
      <c r="N14" s="11" t="s">
        <v>102</v>
      </c>
    </row>
    <row r="15" spans="1:14" ht="10.9" customHeight="1">
      <c r="A15" s="11" t="s">
        <v>105</v>
      </c>
      <c r="B15" s="11" t="s">
        <v>105</v>
      </c>
      <c r="C15" s="11" t="s">
        <v>105</v>
      </c>
      <c r="D15" s="11" t="s">
        <v>105</v>
      </c>
      <c r="E15" s="11" t="s">
        <v>106</v>
      </c>
      <c r="F15" s="11" t="s">
        <v>107</v>
      </c>
      <c r="G15" s="11" t="s">
        <v>115</v>
      </c>
      <c r="H15" s="11" t="s">
        <v>109</v>
      </c>
      <c r="I15" s="11" t="s">
        <v>115</v>
      </c>
      <c r="J15" s="11" t="s">
        <v>110</v>
      </c>
      <c r="K15" s="11" t="s">
        <v>111</v>
      </c>
      <c r="L15" s="11" t="s">
        <v>111</v>
      </c>
      <c r="M15" s="11" t="s">
        <v>115</v>
      </c>
      <c r="N15" s="11" t="s">
        <v>109</v>
      </c>
    </row>
    <row r="16" spans="1:14" ht="10.9" customHeight="1">
      <c r="A16" s="11" t="s">
        <v>112</v>
      </c>
      <c r="B16" s="11" t="s">
        <v>112</v>
      </c>
      <c r="C16" s="11" t="s">
        <v>112</v>
      </c>
      <c r="D16" s="11" t="s">
        <v>112</v>
      </c>
      <c r="E16" s="11" t="s">
        <v>113</v>
      </c>
      <c r="F16" s="11" t="s">
        <v>114</v>
      </c>
      <c r="G16" s="11" t="s">
        <v>121</v>
      </c>
      <c r="H16" s="11"/>
      <c r="I16" s="11" t="s">
        <v>121</v>
      </c>
      <c r="J16" s="11" t="s">
        <v>116</v>
      </c>
      <c r="K16" s="11" t="s">
        <v>117</v>
      </c>
      <c r="L16" s="11" t="s">
        <v>117</v>
      </c>
      <c r="M16" s="11" t="s">
        <v>121</v>
      </c>
      <c r="N16" s="13"/>
    </row>
    <row r="17" spans="1:14" ht="10.9" customHeight="1">
      <c r="A17" s="11" t="s">
        <v>118</v>
      </c>
      <c r="B17" s="11" t="s">
        <v>118</v>
      </c>
      <c r="C17" s="11" t="s">
        <v>118</v>
      </c>
      <c r="D17" s="11" t="s">
        <v>118</v>
      </c>
      <c r="E17" s="11" t="s">
        <v>119</v>
      </c>
      <c r="F17" s="11" t="s">
        <v>120</v>
      </c>
      <c r="G17" s="11" t="s">
        <v>127</v>
      </c>
      <c r="H17" s="11"/>
      <c r="I17" s="11" t="s">
        <v>127</v>
      </c>
      <c r="J17" s="11" t="s">
        <v>122</v>
      </c>
      <c r="K17" s="11" t="s">
        <v>123</v>
      </c>
      <c r="L17" s="11" t="s">
        <v>123</v>
      </c>
      <c r="M17" s="11" t="s">
        <v>127</v>
      </c>
      <c r="N17" s="13"/>
    </row>
    <row r="18" spans="1:14" ht="10.9" customHeight="1">
      <c r="A18" s="11" t="s">
        <v>124</v>
      </c>
      <c r="B18" s="11" t="s">
        <v>124</v>
      </c>
      <c r="C18" s="11" t="s">
        <v>124</v>
      </c>
      <c r="D18" s="11" t="s">
        <v>124</v>
      </c>
      <c r="E18" s="11" t="s">
        <v>125</v>
      </c>
      <c r="F18" s="11" t="s">
        <v>126</v>
      </c>
      <c r="G18" s="11" t="s">
        <v>133</v>
      </c>
      <c r="H18" s="11"/>
      <c r="I18" s="11" t="s">
        <v>133</v>
      </c>
      <c r="J18" s="11" t="s">
        <v>128</v>
      </c>
      <c r="K18" s="11" t="s">
        <v>129</v>
      </c>
      <c r="L18" s="11" t="s">
        <v>129</v>
      </c>
      <c r="M18" s="11" t="s">
        <v>133</v>
      </c>
      <c r="N18" s="13"/>
    </row>
    <row r="19" spans="1:14" ht="10.9" customHeight="1">
      <c r="A19" s="11" t="s">
        <v>130</v>
      </c>
      <c r="B19" s="11" t="s">
        <v>130</v>
      </c>
      <c r="C19" s="11" t="s">
        <v>130</v>
      </c>
      <c r="D19" s="11" t="s">
        <v>130</v>
      </c>
      <c r="E19" s="11" t="s">
        <v>131</v>
      </c>
      <c r="F19" s="11" t="s">
        <v>132</v>
      </c>
      <c r="G19" s="11" t="s">
        <v>92</v>
      </c>
      <c r="H19" s="13"/>
      <c r="I19" s="11" t="s">
        <v>92</v>
      </c>
      <c r="J19" s="11" t="s">
        <v>134</v>
      </c>
      <c r="K19" s="11" t="s">
        <v>135</v>
      </c>
      <c r="L19" s="11" t="s">
        <v>135</v>
      </c>
      <c r="M19" s="11" t="s">
        <v>92</v>
      </c>
      <c r="N19" s="13"/>
    </row>
    <row r="20" spans="1:14" ht="10.9" customHeight="1">
      <c r="A20" s="11" t="s">
        <v>136</v>
      </c>
      <c r="B20" s="11" t="s">
        <v>136</v>
      </c>
      <c r="C20" s="11" t="s">
        <v>136</v>
      </c>
      <c r="D20" s="11" t="s">
        <v>136</v>
      </c>
      <c r="E20" s="13"/>
      <c r="F20" s="13"/>
      <c r="G20" s="11" t="s">
        <v>25</v>
      </c>
      <c r="H20" s="13"/>
      <c r="I20" s="11" t="s">
        <v>25</v>
      </c>
      <c r="J20" s="11" t="s">
        <v>25</v>
      </c>
      <c r="K20" s="11" t="s">
        <v>137</v>
      </c>
      <c r="L20" s="11" t="s">
        <v>137</v>
      </c>
      <c r="M20" s="11" t="s">
        <v>25</v>
      </c>
      <c r="N20" s="13"/>
    </row>
    <row r="21" spans="1:14" ht="10.9" customHeight="1">
      <c r="A21" s="11" t="s">
        <v>138</v>
      </c>
      <c r="B21" s="11" t="s">
        <v>138</v>
      </c>
      <c r="C21" s="11" t="s">
        <v>138</v>
      </c>
      <c r="D21" s="11" t="s">
        <v>138</v>
      </c>
      <c r="E21" s="13"/>
      <c r="F21" s="13"/>
      <c r="G21" s="11" t="s">
        <v>94</v>
      </c>
      <c r="H21" s="13"/>
      <c r="I21" s="11" t="s">
        <v>139</v>
      </c>
      <c r="J21" s="11" t="s">
        <v>97</v>
      </c>
      <c r="K21" s="11"/>
      <c r="L21" s="11" t="s">
        <v>25</v>
      </c>
      <c r="M21" s="11" t="s">
        <v>97</v>
      </c>
      <c r="N21" s="13"/>
    </row>
    <row r="22" spans="1:14" ht="10.9" customHeight="1">
      <c r="A22" s="11" t="s">
        <v>140</v>
      </c>
      <c r="B22" s="11" t="s">
        <v>140</v>
      </c>
      <c r="C22" s="11" t="s">
        <v>140</v>
      </c>
      <c r="D22" s="11" t="s">
        <v>140</v>
      </c>
      <c r="E22" s="13"/>
      <c r="F22" s="13"/>
      <c r="G22" s="11" t="s">
        <v>100</v>
      </c>
      <c r="H22" s="13"/>
      <c r="I22" s="11" t="s">
        <v>141</v>
      </c>
      <c r="J22" s="11" t="s">
        <v>104</v>
      </c>
      <c r="K22" s="13"/>
      <c r="L22" s="11" t="s">
        <v>144</v>
      </c>
      <c r="M22" s="11" t="s">
        <v>104</v>
      </c>
      <c r="N22" s="13"/>
    </row>
    <row r="23" spans="1:14" ht="10.9" customHeight="1">
      <c r="A23" s="11" t="s">
        <v>142</v>
      </c>
      <c r="B23" s="11" t="s">
        <v>142</v>
      </c>
      <c r="C23" s="11" t="s">
        <v>142</v>
      </c>
      <c r="D23" s="11" t="s">
        <v>142</v>
      </c>
      <c r="E23" s="13"/>
      <c r="F23" s="13"/>
      <c r="G23" s="11" t="s">
        <v>107</v>
      </c>
      <c r="H23" s="13"/>
      <c r="I23" s="11" t="s">
        <v>143</v>
      </c>
      <c r="J23" s="11" t="s">
        <v>111</v>
      </c>
      <c r="K23" s="13"/>
      <c r="L23" s="11" t="s">
        <v>147</v>
      </c>
      <c r="M23" s="11" t="s">
        <v>111</v>
      </c>
      <c r="N23" s="13"/>
    </row>
    <row r="24" spans="1:14" ht="10.9" customHeight="1">
      <c r="A24" s="11" t="s">
        <v>145</v>
      </c>
      <c r="B24" s="11" t="s">
        <v>145</v>
      </c>
      <c r="C24" s="11" t="s">
        <v>145</v>
      </c>
      <c r="D24" s="11" t="s">
        <v>145</v>
      </c>
      <c r="E24" s="13"/>
      <c r="F24" s="13"/>
      <c r="G24" s="11" t="s">
        <v>114</v>
      </c>
      <c r="H24" s="13"/>
      <c r="I24" s="11" t="s">
        <v>146</v>
      </c>
      <c r="J24" s="11" t="s">
        <v>117</v>
      </c>
      <c r="K24" s="13"/>
      <c r="L24" s="11" t="s">
        <v>150</v>
      </c>
      <c r="M24" s="11" t="s">
        <v>117</v>
      </c>
      <c r="N24" s="13"/>
    </row>
    <row r="25" spans="1:14" ht="10.9" customHeight="1">
      <c r="A25" s="11" t="s">
        <v>148</v>
      </c>
      <c r="B25" s="11" t="s">
        <v>148</v>
      </c>
      <c r="C25" s="11" t="s">
        <v>148</v>
      </c>
      <c r="D25" s="11" t="s">
        <v>148</v>
      </c>
      <c r="E25" s="13"/>
      <c r="F25" s="13"/>
      <c r="G25" s="11" t="s">
        <v>120</v>
      </c>
      <c r="H25" s="13"/>
      <c r="I25" s="11" t="s">
        <v>149</v>
      </c>
      <c r="J25" s="11" t="s">
        <v>123</v>
      </c>
      <c r="K25" s="13"/>
      <c r="L25" s="11" t="s">
        <v>153</v>
      </c>
      <c r="M25" s="11" t="s">
        <v>123</v>
      </c>
      <c r="N25" s="13"/>
    </row>
    <row r="26" spans="1:14" ht="10.9" customHeight="1">
      <c r="A26" s="11" t="s">
        <v>151</v>
      </c>
      <c r="B26" s="11" t="s">
        <v>152</v>
      </c>
      <c r="C26" s="11" t="s">
        <v>25</v>
      </c>
      <c r="D26" s="11" t="s">
        <v>25</v>
      </c>
      <c r="E26" s="13"/>
      <c r="F26" s="13"/>
      <c r="G26" s="11" t="s">
        <v>126</v>
      </c>
      <c r="H26" s="13"/>
      <c r="I26" s="11"/>
      <c r="J26" s="11" t="s">
        <v>129</v>
      </c>
      <c r="K26" s="13"/>
      <c r="L26" s="11" t="s">
        <v>92</v>
      </c>
      <c r="M26" s="11" t="s">
        <v>129</v>
      </c>
      <c r="N26" s="13"/>
    </row>
    <row r="27" spans="1:14" ht="10.9" customHeight="1">
      <c r="A27" s="11" t="s">
        <v>25</v>
      </c>
      <c r="B27" s="11" t="s">
        <v>25</v>
      </c>
      <c r="C27" s="11" t="s">
        <v>101</v>
      </c>
      <c r="D27" s="11" t="s">
        <v>96</v>
      </c>
      <c r="E27" s="13"/>
      <c r="F27" s="13"/>
      <c r="G27" s="11" t="s">
        <v>132</v>
      </c>
      <c r="H27" s="13"/>
      <c r="I27" s="11"/>
      <c r="J27" s="11" t="s">
        <v>135</v>
      </c>
      <c r="K27" s="13"/>
      <c r="L27" s="11"/>
      <c r="M27" s="11" t="s">
        <v>135</v>
      </c>
      <c r="N27" s="13"/>
    </row>
    <row r="28" spans="1:14" ht="10.9" customHeight="1">
      <c r="A28" s="11" t="s">
        <v>154</v>
      </c>
      <c r="B28" s="11" t="s">
        <v>154</v>
      </c>
      <c r="C28" s="11" t="s">
        <v>108</v>
      </c>
      <c r="D28" s="11" t="s">
        <v>103</v>
      </c>
      <c r="E28" s="13"/>
      <c r="F28" s="13"/>
      <c r="G28" s="11" t="s">
        <v>25</v>
      </c>
      <c r="H28" s="13"/>
      <c r="I28" s="13"/>
      <c r="J28" s="11" t="s">
        <v>25</v>
      </c>
      <c r="K28" s="13"/>
      <c r="L28" s="13"/>
      <c r="M28" s="11" t="s">
        <v>25</v>
      </c>
      <c r="N28" s="13"/>
    </row>
    <row r="29" spans="1:14" ht="10.9" customHeight="1">
      <c r="A29" s="11" t="s">
        <v>155</v>
      </c>
      <c r="B29" s="11" t="s">
        <v>155</v>
      </c>
      <c r="C29" s="11" t="s">
        <v>115</v>
      </c>
      <c r="D29" s="11" t="s">
        <v>110</v>
      </c>
      <c r="E29" s="13"/>
      <c r="F29" s="13"/>
      <c r="G29" s="11" t="s">
        <v>156</v>
      </c>
      <c r="H29" s="13"/>
      <c r="I29" s="13"/>
      <c r="J29" s="11" t="s">
        <v>154</v>
      </c>
      <c r="K29" s="13"/>
      <c r="L29" s="13"/>
      <c r="M29" s="11" t="s">
        <v>144</v>
      </c>
      <c r="N29" s="13"/>
    </row>
    <row r="30" spans="1:14" ht="10.9" customHeight="1">
      <c r="A30" s="11" t="s">
        <v>157</v>
      </c>
      <c r="B30" s="11" t="s">
        <v>157</v>
      </c>
      <c r="C30" s="11" t="s">
        <v>121</v>
      </c>
      <c r="D30" s="11" t="s">
        <v>116</v>
      </c>
      <c r="E30" s="13"/>
      <c r="F30" s="13"/>
      <c r="G30" s="11" t="s">
        <v>158</v>
      </c>
      <c r="H30" s="13"/>
      <c r="I30" s="13"/>
      <c r="J30" s="11" t="s">
        <v>155</v>
      </c>
      <c r="K30" s="13"/>
      <c r="L30" s="13"/>
      <c r="M30" s="11" t="s">
        <v>147</v>
      </c>
      <c r="N30" s="13"/>
    </row>
    <row r="31" spans="1:14" ht="10.9" customHeight="1">
      <c r="A31" s="11" t="s">
        <v>159</v>
      </c>
      <c r="B31" s="11" t="s">
        <v>159</v>
      </c>
      <c r="C31" s="11" t="s">
        <v>127</v>
      </c>
      <c r="D31" s="11" t="s">
        <v>122</v>
      </c>
      <c r="E31" s="13"/>
      <c r="F31" s="13"/>
      <c r="G31" s="11" t="s">
        <v>160</v>
      </c>
      <c r="H31" s="13"/>
      <c r="I31" s="13"/>
      <c r="J31" s="11" t="s">
        <v>157</v>
      </c>
      <c r="K31" s="13"/>
      <c r="L31" s="13"/>
      <c r="M31" s="11" t="s">
        <v>150</v>
      </c>
      <c r="N31" s="13"/>
    </row>
    <row r="32" spans="1:14" ht="10.9" customHeight="1">
      <c r="A32" s="11" t="s">
        <v>25</v>
      </c>
      <c r="B32" s="11" t="s">
        <v>25</v>
      </c>
      <c r="C32" s="11" t="s">
        <v>133</v>
      </c>
      <c r="D32" s="11" t="s">
        <v>128</v>
      </c>
      <c r="E32" s="13"/>
      <c r="F32" s="13"/>
      <c r="G32" s="11" t="s">
        <v>161</v>
      </c>
      <c r="H32" s="13"/>
      <c r="I32" s="13"/>
      <c r="J32" s="11" t="s">
        <v>159</v>
      </c>
      <c r="K32" s="13"/>
      <c r="L32" s="13"/>
      <c r="M32" s="11" t="s">
        <v>153</v>
      </c>
      <c r="N32" s="13"/>
    </row>
    <row r="33" spans="1:14" ht="10.9" customHeight="1">
      <c r="A33" s="11" t="s">
        <v>162</v>
      </c>
      <c r="B33" s="11" t="s">
        <v>162</v>
      </c>
      <c r="C33" s="11" t="s">
        <v>164</v>
      </c>
      <c r="D33" s="11" t="s">
        <v>134</v>
      </c>
      <c r="E33" s="13"/>
      <c r="F33" s="13"/>
      <c r="G33" s="11" t="s">
        <v>163</v>
      </c>
      <c r="H33" s="13"/>
      <c r="I33" s="13"/>
      <c r="J33" s="11"/>
      <c r="K33" s="13"/>
      <c r="L33" s="13"/>
      <c r="M33" s="11" t="s">
        <v>25</v>
      </c>
      <c r="N33" s="13"/>
    </row>
    <row r="34" spans="1:14" ht="10.9" customHeight="1">
      <c r="A34" s="14"/>
      <c r="B34" s="13"/>
      <c r="C34" s="11" t="s">
        <v>92</v>
      </c>
      <c r="D34" s="13"/>
      <c r="E34" s="13"/>
      <c r="F34" s="13"/>
      <c r="G34" s="11" t="s">
        <v>165</v>
      </c>
      <c r="H34" s="13"/>
      <c r="I34" s="13"/>
      <c r="J34" s="13"/>
      <c r="K34" s="13"/>
      <c r="L34" s="13"/>
      <c r="M34" s="11" t="s">
        <v>166</v>
      </c>
      <c r="N34" s="13"/>
    </row>
    <row r="35" spans="1:14" ht="10.9" customHeight="1">
      <c r="A35" s="14"/>
      <c r="B35" s="13"/>
      <c r="C35" s="11" t="s">
        <v>25</v>
      </c>
      <c r="D35" s="13"/>
      <c r="E35" s="13"/>
      <c r="F35" s="13"/>
      <c r="G35" s="11" t="s">
        <v>25</v>
      </c>
      <c r="H35" s="13"/>
      <c r="I35" s="13"/>
      <c r="J35" s="13"/>
      <c r="K35" s="13"/>
      <c r="L35" s="13"/>
      <c r="M35" s="13"/>
      <c r="N35" s="13"/>
    </row>
    <row r="36" spans="1:14" ht="10.9" customHeight="1">
      <c r="A36" s="13"/>
      <c r="B36" s="13"/>
      <c r="C36" s="11" t="s">
        <v>154</v>
      </c>
      <c r="D36" s="13"/>
      <c r="E36" s="13"/>
      <c r="F36" s="13"/>
      <c r="G36" s="11" t="s">
        <v>166</v>
      </c>
      <c r="H36" s="13"/>
      <c r="I36" s="13"/>
      <c r="J36" s="13"/>
      <c r="K36" s="13"/>
      <c r="L36" s="13"/>
      <c r="M36" s="13"/>
      <c r="N36" s="13"/>
    </row>
    <row r="37" spans="1:14" ht="10.9" customHeight="1">
      <c r="A37" s="13"/>
      <c r="B37" s="13"/>
      <c r="C37" s="11" t="s">
        <v>155</v>
      </c>
      <c r="D37" s="13"/>
      <c r="E37" s="13"/>
      <c r="F37" s="13"/>
      <c r="G37" s="11"/>
      <c r="H37" s="13"/>
      <c r="I37" s="13"/>
      <c r="J37" s="13"/>
      <c r="K37" s="13"/>
      <c r="L37" s="13"/>
      <c r="M37" s="13"/>
      <c r="N37" s="13"/>
    </row>
    <row r="38" spans="1:14" ht="10.9" customHeight="1">
      <c r="A38" s="13"/>
      <c r="B38" s="13"/>
      <c r="C38" s="11" t="s">
        <v>157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39" spans="1:14" ht="10.9" customHeight="1">
      <c r="A39" s="13"/>
      <c r="B39" s="13"/>
      <c r="C39" s="11" t="s">
        <v>159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</row>
    <row r="40" spans="1:14" ht="10.9" customHeight="1" thickBot="1">
      <c r="A40" s="13"/>
      <c r="B40" s="13"/>
      <c r="C40" s="11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</row>
    <row r="41" spans="1:14" ht="12.95" customHeight="1" thickBot="1">
      <c r="A41" s="282" t="s">
        <v>2</v>
      </c>
      <c r="B41" s="283" t="s">
        <v>59</v>
      </c>
      <c r="C41" s="283" t="s">
        <v>60</v>
      </c>
      <c r="D41" s="283" t="s">
        <v>61</v>
      </c>
      <c r="E41" s="283" t="s">
        <v>62</v>
      </c>
      <c r="F41" s="283" t="s">
        <v>63</v>
      </c>
      <c r="G41" s="283" t="s">
        <v>64</v>
      </c>
      <c r="H41" s="283" t="s">
        <v>65</v>
      </c>
      <c r="I41" s="283" t="s">
        <v>66</v>
      </c>
      <c r="J41" s="283" t="s">
        <v>67</v>
      </c>
      <c r="K41" s="283" t="s">
        <v>68</v>
      </c>
      <c r="L41" s="283" t="s">
        <v>69</v>
      </c>
      <c r="M41" s="283" t="s">
        <v>70</v>
      </c>
      <c r="N41" s="284" t="s">
        <v>71</v>
      </c>
    </row>
    <row r="42" spans="1:14" ht="10.9" customHeight="1">
      <c r="A42" s="11" t="s">
        <v>25</v>
      </c>
      <c r="B42" s="11" t="s">
        <v>25</v>
      </c>
      <c r="C42" s="11" t="s">
        <v>25</v>
      </c>
      <c r="D42" s="11" t="s">
        <v>25</v>
      </c>
      <c r="E42" s="11" t="s">
        <v>25</v>
      </c>
      <c r="F42" s="11" t="s">
        <v>25</v>
      </c>
      <c r="G42" s="11" t="s">
        <v>25</v>
      </c>
      <c r="H42" s="11" t="s">
        <v>25</v>
      </c>
      <c r="I42" s="11" t="s">
        <v>25</v>
      </c>
      <c r="J42" s="11" t="s">
        <v>25</v>
      </c>
      <c r="K42" s="11" t="s">
        <v>25</v>
      </c>
      <c r="L42" s="11" t="s">
        <v>25</v>
      </c>
      <c r="M42" s="11" t="s">
        <v>25</v>
      </c>
      <c r="N42" s="11" t="s">
        <v>25</v>
      </c>
    </row>
    <row r="43" spans="1:14" ht="10.9" customHeight="1">
      <c r="A43" s="11" t="s">
        <v>167</v>
      </c>
      <c r="B43" s="11" t="s">
        <v>167</v>
      </c>
      <c r="C43" s="11" t="s">
        <v>167</v>
      </c>
      <c r="D43" s="11" t="s">
        <v>167</v>
      </c>
      <c r="E43" s="11" t="s">
        <v>93</v>
      </c>
      <c r="F43" s="11"/>
      <c r="G43" s="11" t="s">
        <v>92</v>
      </c>
      <c r="H43" s="11" t="s">
        <v>167</v>
      </c>
      <c r="I43" s="11" t="s">
        <v>167</v>
      </c>
      <c r="J43" s="11" t="s">
        <v>167</v>
      </c>
      <c r="K43" s="11" t="s">
        <v>167</v>
      </c>
      <c r="L43" s="11" t="s">
        <v>167</v>
      </c>
      <c r="M43" s="11" t="s">
        <v>167</v>
      </c>
      <c r="N43" s="11"/>
    </row>
    <row r="44" spans="1:14" ht="10.9" customHeight="1">
      <c r="A44" s="11" t="s">
        <v>168</v>
      </c>
      <c r="B44" s="11" t="s">
        <v>168</v>
      </c>
      <c r="C44" s="11" t="s">
        <v>168</v>
      </c>
      <c r="D44" s="11" t="s">
        <v>168</v>
      </c>
      <c r="E44" s="11" t="s">
        <v>99</v>
      </c>
      <c r="F44" s="11"/>
      <c r="G44" s="11" t="s">
        <v>101</v>
      </c>
      <c r="H44" s="11" t="s">
        <v>168</v>
      </c>
      <c r="I44" s="11" t="s">
        <v>168</v>
      </c>
      <c r="J44" s="11" t="s">
        <v>168</v>
      </c>
      <c r="K44" s="11" t="s">
        <v>168</v>
      </c>
      <c r="L44" s="11" t="s">
        <v>168</v>
      </c>
      <c r="M44" s="11" t="s">
        <v>168</v>
      </c>
      <c r="N44" s="11"/>
    </row>
    <row r="45" spans="1:14" ht="10.9" customHeight="1">
      <c r="A45" s="11" t="s">
        <v>169</v>
      </c>
      <c r="B45" s="11" t="s">
        <v>169</v>
      </c>
      <c r="C45" s="11" t="s">
        <v>169</v>
      </c>
      <c r="D45" s="11" t="s">
        <v>169</v>
      </c>
      <c r="E45" s="11" t="s">
        <v>106</v>
      </c>
      <c r="F45" s="11"/>
      <c r="G45" s="11" t="s">
        <v>108</v>
      </c>
      <c r="H45" s="11" t="s">
        <v>170</v>
      </c>
      <c r="I45" s="11" t="s">
        <v>171</v>
      </c>
      <c r="J45" s="11" t="s">
        <v>171</v>
      </c>
      <c r="K45" s="11" t="s">
        <v>170</v>
      </c>
      <c r="L45" s="11" t="s">
        <v>170</v>
      </c>
      <c r="M45" s="11" t="s">
        <v>170</v>
      </c>
      <c r="N45" s="13"/>
    </row>
    <row r="46" spans="1:14" ht="10.9" customHeight="1">
      <c r="A46" s="11" t="s">
        <v>171</v>
      </c>
      <c r="B46" s="11" t="s">
        <v>171</v>
      </c>
      <c r="C46" s="11" t="s">
        <v>171</v>
      </c>
      <c r="D46" s="11" t="s">
        <v>171</v>
      </c>
      <c r="E46" s="11" t="s">
        <v>113</v>
      </c>
      <c r="F46" s="11"/>
      <c r="G46" s="11" t="s">
        <v>115</v>
      </c>
      <c r="H46" s="11" t="s">
        <v>172</v>
      </c>
      <c r="I46" s="11" t="s">
        <v>173</v>
      </c>
      <c r="J46" s="11" t="s">
        <v>173</v>
      </c>
      <c r="K46" s="11" t="s">
        <v>172</v>
      </c>
      <c r="L46" s="11" t="s">
        <v>172</v>
      </c>
      <c r="M46" s="11" t="s">
        <v>172</v>
      </c>
      <c r="N46" s="13"/>
    </row>
    <row r="47" spans="1:14" ht="10.9" customHeight="1">
      <c r="A47" s="11" t="s">
        <v>173</v>
      </c>
      <c r="B47" s="11" t="s">
        <v>173</v>
      </c>
      <c r="C47" s="11" t="s">
        <v>173</v>
      </c>
      <c r="D47" s="11" t="s">
        <v>173</v>
      </c>
      <c r="E47" s="11" t="s">
        <v>119</v>
      </c>
      <c r="F47" s="11"/>
      <c r="G47" s="11" t="s">
        <v>121</v>
      </c>
      <c r="H47" s="11" t="s">
        <v>174</v>
      </c>
      <c r="I47" s="11" t="s">
        <v>175</v>
      </c>
      <c r="J47" s="11" t="s">
        <v>175</v>
      </c>
      <c r="K47" s="11" t="s">
        <v>174</v>
      </c>
      <c r="L47" s="11" t="s">
        <v>174</v>
      </c>
      <c r="M47" s="11" t="s">
        <v>174</v>
      </c>
      <c r="N47" s="13"/>
    </row>
    <row r="48" spans="1:14" ht="10.9" customHeight="1">
      <c r="A48" s="11" t="s">
        <v>175</v>
      </c>
      <c r="B48" s="11" t="s">
        <v>175</v>
      </c>
      <c r="C48" s="11" t="s">
        <v>175</v>
      </c>
      <c r="D48" s="11" t="s">
        <v>175</v>
      </c>
      <c r="E48" s="11" t="s">
        <v>125</v>
      </c>
      <c r="F48" s="11"/>
      <c r="G48" s="11" t="s">
        <v>127</v>
      </c>
      <c r="H48" s="11" t="s">
        <v>176</v>
      </c>
      <c r="I48" s="11" t="s">
        <v>170</v>
      </c>
      <c r="J48" s="11" t="s">
        <v>170</v>
      </c>
      <c r="K48" s="11" t="s">
        <v>176</v>
      </c>
      <c r="L48" s="11" t="s">
        <v>176</v>
      </c>
      <c r="M48" s="11" t="s">
        <v>176</v>
      </c>
      <c r="N48" s="13"/>
    </row>
    <row r="49" spans="1:14" ht="10.9" customHeight="1">
      <c r="A49" s="11" t="s">
        <v>170</v>
      </c>
      <c r="B49" s="11" t="s">
        <v>170</v>
      </c>
      <c r="C49" s="11" t="s">
        <v>170</v>
      </c>
      <c r="D49" s="11" t="s">
        <v>170</v>
      </c>
      <c r="E49" s="11" t="s">
        <v>131</v>
      </c>
      <c r="F49" s="11"/>
      <c r="G49" s="11" t="s">
        <v>133</v>
      </c>
      <c r="H49" s="13"/>
      <c r="I49" s="11" t="s">
        <v>172</v>
      </c>
      <c r="J49" s="11" t="s">
        <v>172</v>
      </c>
      <c r="K49" s="11"/>
      <c r="L49" s="11" t="s">
        <v>25</v>
      </c>
      <c r="M49" s="11" t="s">
        <v>25</v>
      </c>
      <c r="N49" s="13"/>
    </row>
    <row r="50" spans="1:14" ht="10.9" customHeight="1">
      <c r="A50" s="11" t="s">
        <v>172</v>
      </c>
      <c r="B50" s="11" t="s">
        <v>172</v>
      </c>
      <c r="C50" s="11" t="s">
        <v>172</v>
      </c>
      <c r="D50" s="11" t="s">
        <v>172</v>
      </c>
      <c r="E50" s="13"/>
      <c r="F50" s="13"/>
      <c r="G50" s="11" t="s">
        <v>25</v>
      </c>
      <c r="H50" s="13"/>
      <c r="I50" s="11" t="s">
        <v>174</v>
      </c>
      <c r="J50" s="11" t="s">
        <v>174</v>
      </c>
      <c r="K50" s="11"/>
      <c r="L50" s="11" t="s">
        <v>92</v>
      </c>
      <c r="M50" s="11" t="s">
        <v>92</v>
      </c>
      <c r="N50" s="13"/>
    </row>
    <row r="51" spans="1:14" ht="10.9" customHeight="1">
      <c r="A51" s="11" t="s">
        <v>174</v>
      </c>
      <c r="B51" s="11" t="s">
        <v>174</v>
      </c>
      <c r="C51" s="11" t="s">
        <v>174</v>
      </c>
      <c r="D51" s="11" t="s">
        <v>174</v>
      </c>
      <c r="E51" s="13"/>
      <c r="F51" s="13"/>
      <c r="G51" s="11" t="s">
        <v>156</v>
      </c>
      <c r="H51" s="13"/>
      <c r="I51" s="11" t="s">
        <v>176</v>
      </c>
      <c r="J51" s="11" t="s">
        <v>176</v>
      </c>
      <c r="K51" s="11"/>
      <c r="L51" s="11"/>
      <c r="M51" s="11" t="s">
        <v>101</v>
      </c>
      <c r="N51" s="13"/>
    </row>
    <row r="52" spans="1:14" ht="10.9" customHeight="1">
      <c r="A52" s="11" t="s">
        <v>176</v>
      </c>
      <c r="B52" s="11" t="s">
        <v>176</v>
      </c>
      <c r="C52" s="11" t="s">
        <v>176</v>
      </c>
      <c r="D52" s="11" t="s">
        <v>176</v>
      </c>
      <c r="E52" s="13"/>
      <c r="F52" s="13"/>
      <c r="G52" s="11" t="s">
        <v>158</v>
      </c>
      <c r="H52" s="13"/>
      <c r="I52" s="11" t="s">
        <v>177</v>
      </c>
      <c r="J52" s="11" t="s">
        <v>177</v>
      </c>
      <c r="K52" s="11"/>
      <c r="L52" s="11"/>
      <c r="M52" s="11" t="s">
        <v>108</v>
      </c>
      <c r="N52" s="13"/>
    </row>
    <row r="53" spans="1:14" ht="10.9" customHeight="1">
      <c r="A53" s="11" t="s">
        <v>177</v>
      </c>
      <c r="B53" s="11" t="s">
        <v>177</v>
      </c>
      <c r="C53" s="11" t="s">
        <v>177</v>
      </c>
      <c r="D53" s="11" t="s">
        <v>177</v>
      </c>
      <c r="E53" s="13"/>
      <c r="F53" s="13"/>
      <c r="G53" s="11" t="s">
        <v>160</v>
      </c>
      <c r="H53" s="13"/>
      <c r="I53" s="11" t="s">
        <v>178</v>
      </c>
      <c r="J53" s="11" t="s">
        <v>178</v>
      </c>
      <c r="K53" s="11"/>
      <c r="L53" s="11"/>
      <c r="M53" s="11" t="s">
        <v>115</v>
      </c>
      <c r="N53" s="13"/>
    </row>
    <row r="54" spans="1:14" ht="10.9" customHeight="1">
      <c r="A54" s="11" t="s">
        <v>178</v>
      </c>
      <c r="B54" s="11" t="s">
        <v>178</v>
      </c>
      <c r="C54" s="11" t="s">
        <v>178</v>
      </c>
      <c r="D54" s="11" t="s">
        <v>178</v>
      </c>
      <c r="E54" s="13"/>
      <c r="F54" s="13"/>
      <c r="G54" s="11" t="s">
        <v>161</v>
      </c>
      <c r="H54" s="13"/>
      <c r="I54" s="11" t="s">
        <v>179</v>
      </c>
      <c r="J54" s="11" t="s">
        <v>179</v>
      </c>
      <c r="K54" s="11"/>
      <c r="L54" s="11"/>
      <c r="M54" s="11" t="s">
        <v>121</v>
      </c>
      <c r="N54" s="13"/>
    </row>
    <row r="55" spans="1:14" ht="10.9" customHeight="1">
      <c r="A55" s="11" t="s">
        <v>179</v>
      </c>
      <c r="B55" s="11" t="s">
        <v>179</v>
      </c>
      <c r="C55" s="11" t="s">
        <v>179</v>
      </c>
      <c r="D55" s="11" t="s">
        <v>179</v>
      </c>
      <c r="E55" s="13"/>
      <c r="F55" s="13"/>
      <c r="G55" s="11" t="s">
        <v>163</v>
      </c>
      <c r="H55" s="13"/>
      <c r="I55" s="11" t="s">
        <v>25</v>
      </c>
      <c r="J55" s="11" t="s">
        <v>25</v>
      </c>
      <c r="K55" s="11"/>
      <c r="L55" s="11"/>
      <c r="M55" s="11" t="s">
        <v>127</v>
      </c>
      <c r="N55" s="13"/>
    </row>
    <row r="56" spans="1:14" ht="10.9" customHeight="1">
      <c r="A56" s="11" t="s">
        <v>180</v>
      </c>
      <c r="B56" s="11" t="s">
        <v>180</v>
      </c>
      <c r="C56" s="11" t="s">
        <v>180</v>
      </c>
      <c r="D56" s="11" t="s">
        <v>25</v>
      </c>
      <c r="E56" s="13"/>
      <c r="F56" s="13"/>
      <c r="G56" s="11" t="s">
        <v>165</v>
      </c>
      <c r="H56" s="11"/>
      <c r="I56" s="11" t="s">
        <v>92</v>
      </c>
      <c r="J56" s="11" t="s">
        <v>154</v>
      </c>
      <c r="K56" s="11"/>
      <c r="L56" s="11"/>
      <c r="M56" s="11" t="s">
        <v>133</v>
      </c>
      <c r="N56" s="13"/>
    </row>
    <row r="57" spans="1:14" ht="10.9" customHeight="1">
      <c r="A57" s="11" t="s">
        <v>25</v>
      </c>
      <c r="B57" s="11" t="s">
        <v>25</v>
      </c>
      <c r="C57" s="11" t="s">
        <v>25</v>
      </c>
      <c r="D57" s="11" t="s">
        <v>105</v>
      </c>
      <c r="E57" s="13"/>
      <c r="F57" s="13"/>
      <c r="G57" s="13"/>
      <c r="H57" s="11"/>
      <c r="I57" s="11" t="s">
        <v>101</v>
      </c>
      <c r="J57" s="11" t="s">
        <v>155</v>
      </c>
      <c r="K57" s="11"/>
      <c r="L57" s="11"/>
      <c r="M57" s="11"/>
      <c r="N57" s="13"/>
    </row>
    <row r="58" spans="1:14" ht="10.9" customHeight="1">
      <c r="A58" s="11" t="s">
        <v>105</v>
      </c>
      <c r="B58" s="11" t="s">
        <v>105</v>
      </c>
      <c r="C58" s="11" t="s">
        <v>105</v>
      </c>
      <c r="D58" s="11" t="s">
        <v>138</v>
      </c>
      <c r="E58" s="13"/>
      <c r="F58" s="13"/>
      <c r="G58" s="13"/>
      <c r="H58" s="11"/>
      <c r="I58" s="11" t="s">
        <v>108</v>
      </c>
      <c r="J58" s="11" t="s">
        <v>157</v>
      </c>
      <c r="K58" s="11"/>
      <c r="L58" s="11"/>
      <c r="M58" s="11"/>
      <c r="N58" s="13"/>
    </row>
    <row r="59" spans="1:14" ht="10.9" customHeight="1">
      <c r="A59" s="11" t="s">
        <v>138</v>
      </c>
      <c r="B59" s="11" t="s">
        <v>138</v>
      </c>
      <c r="C59" s="11" t="s">
        <v>138</v>
      </c>
      <c r="D59" s="11"/>
      <c r="E59" s="13"/>
      <c r="F59" s="13"/>
      <c r="G59" s="13"/>
      <c r="H59" s="11"/>
      <c r="I59" s="11" t="s">
        <v>115</v>
      </c>
      <c r="J59" s="11" t="s">
        <v>159</v>
      </c>
      <c r="K59" s="13"/>
      <c r="L59" s="11"/>
      <c r="M59" s="11"/>
      <c r="N59" s="13"/>
    </row>
    <row r="60" spans="1:14" ht="10.9" customHeight="1">
      <c r="A60" s="11" t="s">
        <v>25</v>
      </c>
      <c r="B60" s="11" t="s">
        <v>25</v>
      </c>
      <c r="C60" s="11" t="s">
        <v>25</v>
      </c>
      <c r="D60" s="11"/>
      <c r="E60" s="13"/>
      <c r="F60" s="13"/>
      <c r="G60" s="13"/>
      <c r="H60" s="11"/>
      <c r="I60" s="11" t="s">
        <v>121</v>
      </c>
      <c r="J60" s="11"/>
      <c r="K60" s="13"/>
      <c r="L60" s="11"/>
      <c r="M60" s="11"/>
      <c r="N60" s="13"/>
    </row>
    <row r="61" spans="1:14" ht="10.9" customHeight="1">
      <c r="A61" s="11" t="s">
        <v>154</v>
      </c>
      <c r="B61" s="11" t="s">
        <v>154</v>
      </c>
      <c r="C61" s="11" t="s">
        <v>92</v>
      </c>
      <c r="D61" s="11"/>
      <c r="E61" s="13"/>
      <c r="F61" s="13"/>
      <c r="G61" s="13"/>
      <c r="H61" s="13"/>
      <c r="I61" s="11" t="s">
        <v>127</v>
      </c>
      <c r="J61" s="11"/>
      <c r="K61" s="13"/>
      <c r="L61" s="11"/>
      <c r="M61" s="11"/>
      <c r="N61" s="13"/>
    </row>
    <row r="62" spans="1:14" ht="10.9" customHeight="1">
      <c r="A62" s="11" t="s">
        <v>155</v>
      </c>
      <c r="B62" s="11" t="s">
        <v>155</v>
      </c>
      <c r="C62" s="11" t="s">
        <v>101</v>
      </c>
      <c r="D62" s="11"/>
      <c r="E62" s="13"/>
      <c r="F62" s="13"/>
      <c r="G62" s="13"/>
      <c r="H62" s="13"/>
      <c r="I62" s="11" t="s">
        <v>133</v>
      </c>
      <c r="J62" s="11"/>
      <c r="K62" s="13"/>
      <c r="L62" s="11"/>
      <c r="M62" s="11"/>
      <c r="N62" s="13"/>
    </row>
    <row r="63" spans="1:14" ht="10.9" customHeight="1">
      <c r="A63" s="11" t="s">
        <v>157</v>
      </c>
      <c r="B63" s="11" t="s">
        <v>157</v>
      </c>
      <c r="C63" s="11" t="s">
        <v>108</v>
      </c>
      <c r="D63" s="11"/>
      <c r="E63" s="13"/>
      <c r="F63" s="13"/>
      <c r="G63" s="13"/>
      <c r="H63" s="13"/>
      <c r="I63" s="11"/>
      <c r="J63" s="11"/>
      <c r="K63" s="13"/>
      <c r="L63" s="11"/>
      <c r="M63" s="11"/>
      <c r="N63" s="13"/>
    </row>
    <row r="64" spans="1:14" ht="10.9" customHeight="1">
      <c r="A64" s="11" t="s">
        <v>159</v>
      </c>
      <c r="B64" s="11" t="s">
        <v>159</v>
      </c>
      <c r="C64" s="11" t="s">
        <v>115</v>
      </c>
      <c r="D64" s="11"/>
      <c r="E64" s="13"/>
      <c r="F64" s="13"/>
      <c r="G64" s="13"/>
      <c r="H64" s="13"/>
      <c r="I64" s="13"/>
      <c r="J64" s="13"/>
      <c r="K64" s="13"/>
      <c r="L64" s="11"/>
      <c r="M64" s="11"/>
      <c r="N64" s="13"/>
    </row>
    <row r="65" spans="1:14" ht="10.9" customHeight="1">
      <c r="A65" s="11"/>
      <c r="B65" s="11"/>
      <c r="C65" s="11" t="s">
        <v>121</v>
      </c>
      <c r="D65" s="11"/>
      <c r="E65" s="13"/>
      <c r="F65" s="13"/>
      <c r="G65" s="13"/>
      <c r="H65" s="13"/>
      <c r="I65" s="13"/>
      <c r="J65" s="11"/>
      <c r="K65" s="13"/>
      <c r="L65" s="13"/>
      <c r="M65" s="11"/>
      <c r="N65" s="13"/>
    </row>
    <row r="66" spans="1:14" ht="10.9" customHeight="1">
      <c r="A66" s="11"/>
      <c r="B66" s="11"/>
      <c r="C66" s="11" t="s">
        <v>127</v>
      </c>
      <c r="D66" s="11"/>
      <c r="E66" s="13"/>
      <c r="F66" s="13"/>
      <c r="G66" s="13"/>
      <c r="H66" s="13"/>
      <c r="I66" s="11"/>
      <c r="J66" s="11"/>
      <c r="K66" s="13"/>
      <c r="L66" s="13"/>
      <c r="M66" s="11"/>
      <c r="N66" s="13"/>
    </row>
    <row r="67" spans="1:14" ht="10.9" customHeight="1">
      <c r="A67" s="11"/>
      <c r="B67" s="11"/>
      <c r="C67" s="11" t="s">
        <v>133</v>
      </c>
      <c r="D67" s="11"/>
      <c r="E67" s="13"/>
      <c r="F67" s="13"/>
      <c r="G67" s="13"/>
      <c r="H67" s="13"/>
      <c r="I67" s="13"/>
      <c r="J67" s="13"/>
      <c r="K67" s="13"/>
      <c r="L67" s="13"/>
      <c r="M67" s="13"/>
      <c r="N67" s="13"/>
    </row>
    <row r="68" spans="1:14" ht="10.9" customHeight="1">
      <c r="A68" s="13"/>
      <c r="B68" s="13"/>
      <c r="C68" s="11" t="s">
        <v>164</v>
      </c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</row>
    <row r="69" spans="1:14" ht="10.9" customHeight="1">
      <c r="A69" s="13"/>
      <c r="B69" s="13"/>
      <c r="C69" s="11" t="s">
        <v>25</v>
      </c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</row>
    <row r="70" spans="1:14" ht="10.9" customHeight="1">
      <c r="A70" s="13"/>
      <c r="B70" s="13"/>
      <c r="C70" s="11" t="s">
        <v>154</v>
      </c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</row>
    <row r="71" spans="1:14" ht="10.9" customHeight="1">
      <c r="A71" s="13"/>
      <c r="B71" s="13"/>
      <c r="C71" s="11" t="s">
        <v>155</v>
      </c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</row>
    <row r="72" spans="1:14" ht="10.9" customHeight="1">
      <c r="A72" s="13"/>
      <c r="B72" s="13"/>
      <c r="C72" s="11" t="s">
        <v>157</v>
      </c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</row>
    <row r="73" spans="1:14" ht="10.9" customHeight="1">
      <c r="A73" s="13"/>
      <c r="B73" s="13"/>
      <c r="C73" s="11" t="s">
        <v>159</v>
      </c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</row>
    <row r="74" spans="1:14" ht="10.9" customHeight="1" thickBo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</row>
    <row r="75" spans="1:14" ht="12.95" customHeight="1" thickBot="1">
      <c r="A75" s="282" t="s">
        <v>2</v>
      </c>
      <c r="B75" s="283" t="s">
        <v>59</v>
      </c>
      <c r="C75" s="283" t="s">
        <v>60</v>
      </c>
      <c r="D75" s="283" t="s">
        <v>61</v>
      </c>
      <c r="E75" s="283" t="s">
        <v>62</v>
      </c>
      <c r="F75" s="283" t="s">
        <v>63</v>
      </c>
      <c r="G75" s="283" t="s">
        <v>64</v>
      </c>
      <c r="H75" s="283" t="s">
        <v>65</v>
      </c>
      <c r="I75" s="283" t="s">
        <v>66</v>
      </c>
      <c r="J75" s="283" t="s">
        <v>67</v>
      </c>
      <c r="K75" s="283" t="s">
        <v>68</v>
      </c>
      <c r="L75" s="283" t="s">
        <v>69</v>
      </c>
      <c r="M75" s="283" t="s">
        <v>70</v>
      </c>
      <c r="N75" s="284" t="s">
        <v>71</v>
      </c>
    </row>
    <row r="76" spans="1:14" ht="10.9" customHeight="1">
      <c r="A76" s="11" t="s">
        <v>25</v>
      </c>
      <c r="B76" s="11" t="s">
        <v>25</v>
      </c>
      <c r="C76" s="11" t="s">
        <v>25</v>
      </c>
      <c r="D76" s="11" t="s">
        <v>25</v>
      </c>
      <c r="E76" s="11" t="s">
        <v>25</v>
      </c>
      <c r="F76" s="11" t="s">
        <v>25</v>
      </c>
      <c r="G76" s="11" t="s">
        <v>25</v>
      </c>
      <c r="H76" s="11" t="s">
        <v>25</v>
      </c>
      <c r="I76" s="11" t="s">
        <v>25</v>
      </c>
      <c r="J76" s="11" t="s">
        <v>25</v>
      </c>
      <c r="K76" s="11" t="s">
        <v>25</v>
      </c>
      <c r="L76" s="11" t="s">
        <v>25</v>
      </c>
      <c r="M76" s="11" t="s">
        <v>25</v>
      </c>
      <c r="N76" s="11" t="s">
        <v>25</v>
      </c>
    </row>
    <row r="77" spans="1:14" ht="10.9" customHeight="1">
      <c r="A77" s="11" t="s">
        <v>181</v>
      </c>
      <c r="B77" s="11" t="s">
        <v>181</v>
      </c>
      <c r="C77" s="11" t="s">
        <v>181</v>
      </c>
      <c r="D77" s="11" t="s">
        <v>181</v>
      </c>
      <c r="E77" s="11" t="s">
        <v>181</v>
      </c>
      <c r="F77" s="11" t="s">
        <v>181</v>
      </c>
      <c r="G77" s="11" t="s">
        <v>181</v>
      </c>
      <c r="H77" s="11" t="s">
        <v>181</v>
      </c>
      <c r="I77" s="11" t="s">
        <v>181</v>
      </c>
      <c r="J77" s="11" t="s">
        <v>181</v>
      </c>
      <c r="K77" s="11" t="s">
        <v>181</v>
      </c>
      <c r="L77" s="11" t="s">
        <v>181</v>
      </c>
      <c r="M77" s="11" t="s">
        <v>181</v>
      </c>
      <c r="N77" s="13" t="s">
        <v>182</v>
      </c>
    </row>
    <row r="78" spans="1:14" ht="10.9" customHeight="1">
      <c r="A78" s="11" t="s">
        <v>183</v>
      </c>
      <c r="B78" s="11" t="s">
        <v>183</v>
      </c>
      <c r="C78" s="11" t="s">
        <v>183</v>
      </c>
      <c r="D78" s="11" t="s">
        <v>183</v>
      </c>
      <c r="E78" s="11" t="s">
        <v>183</v>
      </c>
      <c r="F78" s="11" t="s">
        <v>183</v>
      </c>
      <c r="G78" s="11" t="s">
        <v>183</v>
      </c>
      <c r="H78" s="11" t="s">
        <v>183</v>
      </c>
      <c r="I78" s="11" t="s">
        <v>183</v>
      </c>
      <c r="J78" s="11" t="s">
        <v>183</v>
      </c>
      <c r="K78" s="11" t="s">
        <v>183</v>
      </c>
      <c r="L78" s="11" t="s">
        <v>183</v>
      </c>
      <c r="M78" s="11" t="s">
        <v>183</v>
      </c>
      <c r="N78" s="13"/>
    </row>
    <row r="79" spans="1:14" ht="10.9" customHeight="1">
      <c r="A79" s="11" t="s">
        <v>184</v>
      </c>
      <c r="B79" s="11" t="s">
        <v>184</v>
      </c>
      <c r="C79" s="11" t="s">
        <v>185</v>
      </c>
      <c r="D79" s="11" t="s">
        <v>186</v>
      </c>
      <c r="E79" s="11" t="s">
        <v>185</v>
      </c>
      <c r="F79" s="11" t="s">
        <v>186</v>
      </c>
      <c r="G79" s="11" t="s">
        <v>185</v>
      </c>
      <c r="H79" s="11" t="s">
        <v>185</v>
      </c>
      <c r="I79" s="11" t="s">
        <v>185</v>
      </c>
      <c r="J79" s="11" t="s">
        <v>185</v>
      </c>
      <c r="K79" s="11" t="s">
        <v>185</v>
      </c>
      <c r="L79" s="11" t="s">
        <v>185</v>
      </c>
      <c r="M79" s="11" t="s">
        <v>185</v>
      </c>
      <c r="N79" s="13"/>
    </row>
    <row r="80" spans="1:14" ht="10.9" customHeight="1">
      <c r="A80" s="11" t="s">
        <v>186</v>
      </c>
      <c r="B80" s="11" t="s">
        <v>186</v>
      </c>
      <c r="C80" s="11" t="s">
        <v>187</v>
      </c>
      <c r="D80" s="11" t="s">
        <v>185</v>
      </c>
      <c r="E80" s="11" t="s">
        <v>188</v>
      </c>
      <c r="F80" s="11" t="s">
        <v>185</v>
      </c>
      <c r="G80" s="11" t="s">
        <v>187</v>
      </c>
      <c r="H80" s="11" t="s">
        <v>188</v>
      </c>
      <c r="I80" s="11" t="s">
        <v>187</v>
      </c>
      <c r="J80" s="11" t="s">
        <v>187</v>
      </c>
      <c r="K80" s="11" t="s">
        <v>189</v>
      </c>
      <c r="L80" s="11" t="s">
        <v>190</v>
      </c>
      <c r="M80" s="11" t="s">
        <v>189</v>
      </c>
      <c r="N80" s="13"/>
    </row>
    <row r="81" spans="1:14" ht="10.9" customHeight="1">
      <c r="A81" s="11" t="s">
        <v>185</v>
      </c>
      <c r="B81" s="11" t="s">
        <v>185</v>
      </c>
      <c r="C81" s="11" t="s">
        <v>191</v>
      </c>
      <c r="D81" s="11" t="s">
        <v>187</v>
      </c>
      <c r="E81" s="11" t="s">
        <v>190</v>
      </c>
      <c r="F81" s="11" t="s">
        <v>187</v>
      </c>
      <c r="G81" s="11" t="s">
        <v>191</v>
      </c>
      <c r="H81" s="11" t="s">
        <v>190</v>
      </c>
      <c r="I81" s="11" t="s">
        <v>192</v>
      </c>
      <c r="J81" s="11" t="s">
        <v>192</v>
      </c>
      <c r="K81" s="11" t="s">
        <v>190</v>
      </c>
      <c r="L81" s="11" t="s">
        <v>193</v>
      </c>
      <c r="M81" s="11" t="s">
        <v>190</v>
      </c>
      <c r="N81" s="13"/>
    </row>
    <row r="82" spans="1:14" ht="10.9" customHeight="1">
      <c r="A82" s="11" t="s">
        <v>187</v>
      </c>
      <c r="B82" s="11" t="s">
        <v>187</v>
      </c>
      <c r="C82" s="11" t="s">
        <v>190</v>
      </c>
      <c r="D82" s="11" t="s">
        <v>192</v>
      </c>
      <c r="E82" s="11" t="s">
        <v>193</v>
      </c>
      <c r="F82" s="11" t="s">
        <v>192</v>
      </c>
      <c r="G82" s="11" t="s">
        <v>190</v>
      </c>
      <c r="H82" s="11" t="s">
        <v>193</v>
      </c>
      <c r="I82" s="11" t="s">
        <v>194</v>
      </c>
      <c r="J82" s="13" t="s">
        <v>189</v>
      </c>
      <c r="K82" s="11" t="s">
        <v>195</v>
      </c>
      <c r="L82" s="11" t="s">
        <v>196</v>
      </c>
      <c r="M82" s="11" t="s">
        <v>195</v>
      </c>
      <c r="N82" s="13"/>
    </row>
    <row r="83" spans="1:14" ht="10.9" customHeight="1">
      <c r="A83" s="11" t="s">
        <v>192</v>
      </c>
      <c r="B83" s="11" t="s">
        <v>192</v>
      </c>
      <c r="C83" s="11" t="s">
        <v>193</v>
      </c>
      <c r="D83" s="11" t="s">
        <v>194</v>
      </c>
      <c r="E83" s="11" t="s">
        <v>182</v>
      </c>
      <c r="F83" s="11" t="s">
        <v>194</v>
      </c>
      <c r="G83" s="11" t="s">
        <v>193</v>
      </c>
      <c r="H83" s="11" t="s">
        <v>196</v>
      </c>
      <c r="I83" s="11" t="s">
        <v>197</v>
      </c>
      <c r="J83" s="11" t="s">
        <v>194</v>
      </c>
      <c r="K83" s="11" t="s">
        <v>193</v>
      </c>
      <c r="L83" s="11" t="s">
        <v>182</v>
      </c>
      <c r="M83" s="11" t="s">
        <v>193</v>
      </c>
      <c r="N83" s="13"/>
    </row>
    <row r="84" spans="1:14" ht="10.9" customHeight="1">
      <c r="A84" s="11" t="s">
        <v>198</v>
      </c>
      <c r="B84" s="11" t="s">
        <v>198</v>
      </c>
      <c r="C84" s="11" t="s">
        <v>199</v>
      </c>
      <c r="D84" s="11" t="s">
        <v>197</v>
      </c>
      <c r="E84" s="13" t="s">
        <v>200</v>
      </c>
      <c r="F84" s="11" t="s">
        <v>197</v>
      </c>
      <c r="G84" s="11" t="s">
        <v>199</v>
      </c>
      <c r="H84" s="11" t="s">
        <v>182</v>
      </c>
      <c r="I84" s="11" t="s">
        <v>190</v>
      </c>
      <c r="J84" s="11" t="s">
        <v>197</v>
      </c>
      <c r="K84" s="11" t="s">
        <v>182</v>
      </c>
      <c r="L84" s="13" t="s">
        <v>200</v>
      </c>
      <c r="M84" s="11" t="s">
        <v>201</v>
      </c>
      <c r="N84" s="13"/>
    </row>
    <row r="85" spans="1:14" ht="10.9" customHeight="1">
      <c r="A85" s="11" t="s">
        <v>189</v>
      </c>
      <c r="B85" s="11" t="s">
        <v>189</v>
      </c>
      <c r="C85" s="11" t="s">
        <v>182</v>
      </c>
      <c r="D85" s="11" t="s">
        <v>190</v>
      </c>
      <c r="E85" s="13"/>
      <c r="F85" s="11" t="s">
        <v>190</v>
      </c>
      <c r="G85" s="11" t="s">
        <v>182</v>
      </c>
      <c r="H85" s="13" t="s">
        <v>200</v>
      </c>
      <c r="I85" s="11" t="s">
        <v>193</v>
      </c>
      <c r="J85" s="11" t="s">
        <v>190</v>
      </c>
      <c r="K85" s="13" t="s">
        <v>200</v>
      </c>
      <c r="L85" s="13"/>
      <c r="M85" s="11" t="s">
        <v>182</v>
      </c>
      <c r="N85" s="13"/>
    </row>
    <row r="86" spans="1:14" ht="10.9" customHeight="1">
      <c r="A86" s="11" t="s">
        <v>194</v>
      </c>
      <c r="B86" s="11" t="s">
        <v>194</v>
      </c>
      <c r="C86" s="13" t="s">
        <v>200</v>
      </c>
      <c r="D86" s="11" t="s">
        <v>193</v>
      </c>
      <c r="E86" s="13"/>
      <c r="F86" s="11" t="s">
        <v>193</v>
      </c>
      <c r="G86" s="13" t="s">
        <v>200</v>
      </c>
      <c r="H86" s="13"/>
      <c r="I86" s="11" t="s">
        <v>199</v>
      </c>
      <c r="J86" s="13" t="s">
        <v>195</v>
      </c>
      <c r="K86" s="13"/>
      <c r="L86" s="13"/>
      <c r="M86" s="13" t="s">
        <v>200</v>
      </c>
      <c r="N86" s="13"/>
    </row>
    <row r="87" spans="1:14" ht="10.9" customHeight="1">
      <c r="A87" s="11" t="s">
        <v>197</v>
      </c>
      <c r="B87" s="11" t="s">
        <v>197</v>
      </c>
      <c r="C87" s="13"/>
      <c r="D87" s="11" t="s">
        <v>199</v>
      </c>
      <c r="E87" s="13"/>
      <c r="F87" s="11" t="s">
        <v>199</v>
      </c>
      <c r="G87" s="13"/>
      <c r="H87" s="13"/>
      <c r="I87" s="11" t="s">
        <v>182</v>
      </c>
      <c r="J87" s="11" t="s">
        <v>193</v>
      </c>
      <c r="K87" s="13"/>
      <c r="L87" s="13"/>
      <c r="M87" s="13"/>
      <c r="N87" s="13"/>
    </row>
    <row r="88" spans="1:14" ht="10.9" customHeight="1">
      <c r="A88" s="11" t="s">
        <v>190</v>
      </c>
      <c r="B88" s="11" t="s">
        <v>190</v>
      </c>
      <c r="C88" s="13"/>
      <c r="D88" s="11" t="s">
        <v>201</v>
      </c>
      <c r="E88" s="13"/>
      <c r="F88" s="11" t="s">
        <v>182</v>
      </c>
      <c r="G88" s="13"/>
      <c r="H88" s="13"/>
      <c r="I88" s="13" t="s">
        <v>200</v>
      </c>
      <c r="J88" s="11" t="s">
        <v>199</v>
      </c>
      <c r="K88" s="13"/>
      <c r="L88" s="13"/>
      <c r="M88" s="13"/>
      <c r="N88" s="13"/>
    </row>
    <row r="89" spans="1:14" ht="10.9" customHeight="1">
      <c r="A89" s="11" t="s">
        <v>202</v>
      </c>
      <c r="B89" s="11" t="s">
        <v>202</v>
      </c>
      <c r="C89" s="13"/>
      <c r="D89" s="11" t="s">
        <v>182</v>
      </c>
      <c r="E89" s="13"/>
      <c r="F89" s="13" t="s">
        <v>200</v>
      </c>
      <c r="G89" s="13"/>
      <c r="H89" s="13"/>
      <c r="I89" s="13"/>
      <c r="J89" s="13" t="s">
        <v>201</v>
      </c>
      <c r="K89" s="13"/>
      <c r="L89" s="13"/>
      <c r="M89" s="13"/>
      <c r="N89" s="13"/>
    </row>
    <row r="90" spans="1:14" ht="10.9" customHeight="1">
      <c r="A90" s="11" t="s">
        <v>195</v>
      </c>
      <c r="B90" s="11" t="s">
        <v>195</v>
      </c>
      <c r="C90" s="13"/>
      <c r="D90" s="13" t="s">
        <v>200</v>
      </c>
      <c r="E90" s="13"/>
      <c r="F90" s="13"/>
      <c r="G90" s="13"/>
      <c r="H90" s="13"/>
      <c r="I90" s="13"/>
      <c r="J90" s="11" t="s">
        <v>182</v>
      </c>
      <c r="K90" s="13"/>
      <c r="L90" s="13"/>
      <c r="M90" s="13"/>
      <c r="N90" s="13"/>
    </row>
    <row r="91" spans="1:14" ht="10.9" customHeight="1">
      <c r="A91" s="11" t="s">
        <v>193</v>
      </c>
      <c r="B91" s="11" t="s">
        <v>193</v>
      </c>
      <c r="C91" s="13"/>
      <c r="D91" s="13"/>
      <c r="E91" s="13"/>
      <c r="F91" s="13"/>
      <c r="G91" s="13"/>
      <c r="H91" s="13"/>
      <c r="I91" s="13"/>
      <c r="J91" s="13" t="s">
        <v>200</v>
      </c>
      <c r="K91" s="13"/>
      <c r="L91" s="13"/>
      <c r="M91" s="13"/>
      <c r="N91" s="13"/>
    </row>
    <row r="92" spans="1:14" ht="10.9" customHeight="1">
      <c r="A92" s="11" t="s">
        <v>199</v>
      </c>
      <c r="B92" s="11" t="s">
        <v>199</v>
      </c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</row>
    <row r="93" spans="1:14" ht="10.9" customHeight="1">
      <c r="A93" s="11" t="s">
        <v>182</v>
      </c>
      <c r="B93" s="11" t="s">
        <v>182</v>
      </c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</row>
    <row r="94" spans="1:14" ht="10.9" customHeight="1">
      <c r="A94" s="13" t="s">
        <v>200</v>
      </c>
      <c r="B94" s="13" t="s">
        <v>200</v>
      </c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</row>
    <row r="95" spans="1:14" ht="10.9" customHeight="1" thickBo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</row>
    <row r="96" spans="1:14" ht="12.95" customHeight="1" thickBot="1">
      <c r="A96" s="282" t="s">
        <v>2</v>
      </c>
      <c r="B96" s="283" t="s">
        <v>59</v>
      </c>
      <c r="C96" s="283" t="s">
        <v>60</v>
      </c>
      <c r="D96" s="283" t="s">
        <v>61</v>
      </c>
      <c r="E96" s="283" t="s">
        <v>62</v>
      </c>
      <c r="F96" s="283" t="s">
        <v>63</v>
      </c>
      <c r="G96" s="283" t="s">
        <v>64</v>
      </c>
      <c r="H96" s="283" t="s">
        <v>65</v>
      </c>
      <c r="I96" s="283" t="s">
        <v>66</v>
      </c>
      <c r="J96" s="283" t="s">
        <v>67</v>
      </c>
      <c r="K96" s="283" t="s">
        <v>68</v>
      </c>
      <c r="L96" s="283" t="s">
        <v>69</v>
      </c>
      <c r="M96" s="283" t="s">
        <v>70</v>
      </c>
      <c r="N96" s="284" t="s">
        <v>71</v>
      </c>
    </row>
    <row r="97" spans="1:14" ht="10.9" customHeight="1">
      <c r="A97" s="11" t="s">
        <v>25</v>
      </c>
      <c r="B97" s="11" t="s">
        <v>25</v>
      </c>
      <c r="C97" s="11" t="s">
        <v>25</v>
      </c>
      <c r="D97" s="11" t="s">
        <v>25</v>
      </c>
      <c r="E97" s="11" t="s">
        <v>25</v>
      </c>
      <c r="F97" s="11" t="s">
        <v>25</v>
      </c>
      <c r="G97" s="11" t="s">
        <v>25</v>
      </c>
      <c r="H97" s="11" t="s">
        <v>25</v>
      </c>
      <c r="I97" s="11" t="s">
        <v>25</v>
      </c>
      <c r="J97" s="11" t="s">
        <v>25</v>
      </c>
      <c r="K97" s="11" t="s">
        <v>25</v>
      </c>
      <c r="L97" s="11" t="s">
        <v>25</v>
      </c>
      <c r="M97" s="11" t="s">
        <v>25</v>
      </c>
      <c r="N97" s="11" t="s">
        <v>25</v>
      </c>
    </row>
    <row r="98" spans="1:14" ht="10.9" customHeight="1">
      <c r="A98" s="11" t="s">
        <v>203</v>
      </c>
      <c r="B98" s="11" t="s">
        <v>203</v>
      </c>
      <c r="C98" s="11" t="s">
        <v>203</v>
      </c>
      <c r="D98" s="11" t="s">
        <v>203</v>
      </c>
      <c r="E98" s="11" t="s">
        <v>203</v>
      </c>
      <c r="F98" s="11" t="s">
        <v>203</v>
      </c>
      <c r="G98" s="11" t="s">
        <v>203</v>
      </c>
      <c r="H98" s="11" t="s">
        <v>203</v>
      </c>
      <c r="I98" s="11" t="s">
        <v>203</v>
      </c>
      <c r="J98" s="11" t="s">
        <v>203</v>
      </c>
      <c r="K98" s="11" t="s">
        <v>203</v>
      </c>
      <c r="L98" s="11" t="s">
        <v>203</v>
      </c>
      <c r="M98" s="11" t="s">
        <v>203</v>
      </c>
      <c r="N98" s="13" t="s">
        <v>204</v>
      </c>
    </row>
    <row r="99" spans="1:14" ht="10.9" customHeight="1">
      <c r="A99" s="11" t="s">
        <v>205</v>
      </c>
      <c r="B99" s="11" t="s">
        <v>205</v>
      </c>
      <c r="C99" s="11" t="s">
        <v>206</v>
      </c>
      <c r="D99" s="11" t="s">
        <v>207</v>
      </c>
      <c r="E99" s="11" t="s">
        <v>206</v>
      </c>
      <c r="F99" s="11" t="s">
        <v>207</v>
      </c>
      <c r="G99" s="11" t="s">
        <v>206</v>
      </c>
      <c r="H99" s="11" t="s">
        <v>206</v>
      </c>
      <c r="I99" s="11" t="s">
        <v>208</v>
      </c>
      <c r="J99" s="11" t="s">
        <v>205</v>
      </c>
      <c r="K99" s="11" t="s">
        <v>205</v>
      </c>
      <c r="L99" s="11" t="s">
        <v>208</v>
      </c>
      <c r="M99" s="11" t="s">
        <v>208</v>
      </c>
      <c r="N99" s="13"/>
    </row>
    <row r="100" spans="1:14" ht="10.9" customHeight="1">
      <c r="A100" s="11" t="s">
        <v>207</v>
      </c>
      <c r="B100" s="11" t="s">
        <v>207</v>
      </c>
      <c r="C100" s="11" t="s">
        <v>208</v>
      </c>
      <c r="D100" s="11" t="s">
        <v>208</v>
      </c>
      <c r="E100" s="11" t="s">
        <v>205</v>
      </c>
      <c r="F100" s="11" t="s">
        <v>208</v>
      </c>
      <c r="G100" s="11" t="s">
        <v>208</v>
      </c>
      <c r="H100" s="11" t="s">
        <v>208</v>
      </c>
      <c r="I100" s="11" t="s">
        <v>209</v>
      </c>
      <c r="J100" s="11" t="s">
        <v>208</v>
      </c>
      <c r="K100" s="11" t="s">
        <v>208</v>
      </c>
      <c r="L100" s="11" t="s">
        <v>210</v>
      </c>
      <c r="M100" s="11" t="s">
        <v>211</v>
      </c>
      <c r="N100" s="13"/>
    </row>
    <row r="101" spans="1:14" ht="10.9" customHeight="1">
      <c r="A101" s="11" t="s">
        <v>208</v>
      </c>
      <c r="B101" s="11" t="s">
        <v>208</v>
      </c>
      <c r="C101" s="11" t="s">
        <v>212</v>
      </c>
      <c r="D101" s="11" t="s">
        <v>209</v>
      </c>
      <c r="E101" s="11" t="s">
        <v>208</v>
      </c>
      <c r="F101" s="11" t="s">
        <v>209</v>
      </c>
      <c r="G101" s="11" t="s">
        <v>212</v>
      </c>
      <c r="H101" s="11" t="s">
        <v>212</v>
      </c>
      <c r="I101" s="11" t="s">
        <v>213</v>
      </c>
      <c r="J101" s="11" t="s">
        <v>209</v>
      </c>
      <c r="K101" s="11" t="s">
        <v>211</v>
      </c>
      <c r="L101" s="11" t="s">
        <v>211</v>
      </c>
      <c r="M101" s="11" t="s">
        <v>214</v>
      </c>
      <c r="N101" s="13"/>
    </row>
    <row r="102" spans="1:14" ht="10.9" customHeight="1">
      <c r="A102" s="11" t="s">
        <v>210</v>
      </c>
      <c r="B102" s="11" t="s">
        <v>210</v>
      </c>
      <c r="C102" s="11" t="s">
        <v>209</v>
      </c>
      <c r="D102" s="11" t="s">
        <v>213</v>
      </c>
      <c r="E102" s="11" t="s">
        <v>212</v>
      </c>
      <c r="F102" s="11" t="s">
        <v>213</v>
      </c>
      <c r="G102" s="11" t="s">
        <v>209</v>
      </c>
      <c r="H102" s="11" t="s">
        <v>215</v>
      </c>
      <c r="I102" s="11" t="s">
        <v>216</v>
      </c>
      <c r="J102" s="11" t="s">
        <v>215</v>
      </c>
      <c r="K102" s="11" t="s">
        <v>217</v>
      </c>
      <c r="L102" s="11" t="s">
        <v>218</v>
      </c>
      <c r="M102" s="11" t="s">
        <v>219</v>
      </c>
      <c r="N102" s="13"/>
    </row>
    <row r="103" spans="1:14" ht="10.9" customHeight="1">
      <c r="A103" s="11" t="s">
        <v>209</v>
      </c>
      <c r="B103" s="11" t="s">
        <v>209</v>
      </c>
      <c r="C103" s="11" t="s">
        <v>215</v>
      </c>
      <c r="D103" s="11" t="s">
        <v>216</v>
      </c>
      <c r="E103" s="11" t="s">
        <v>215</v>
      </c>
      <c r="F103" s="11" t="s">
        <v>216</v>
      </c>
      <c r="G103" s="11" t="s">
        <v>215</v>
      </c>
      <c r="H103" s="11" t="s">
        <v>211</v>
      </c>
      <c r="I103" s="11" t="s">
        <v>211</v>
      </c>
      <c r="J103" s="11" t="s">
        <v>213</v>
      </c>
      <c r="K103" s="11" t="s">
        <v>214</v>
      </c>
      <c r="L103" s="11" t="s">
        <v>214</v>
      </c>
      <c r="M103" s="11" t="s">
        <v>220</v>
      </c>
      <c r="N103" s="13"/>
    </row>
    <row r="104" spans="1:14" ht="10.9" customHeight="1">
      <c r="A104" s="11" t="s">
        <v>213</v>
      </c>
      <c r="B104" s="11" t="s">
        <v>213</v>
      </c>
      <c r="C104" s="11" t="s">
        <v>211</v>
      </c>
      <c r="D104" s="11" t="s">
        <v>211</v>
      </c>
      <c r="E104" s="11" t="s">
        <v>211</v>
      </c>
      <c r="F104" s="11" t="s">
        <v>211</v>
      </c>
      <c r="G104" s="11" t="s">
        <v>211</v>
      </c>
      <c r="H104" s="11" t="s">
        <v>221</v>
      </c>
      <c r="I104" s="11" t="s">
        <v>222</v>
      </c>
      <c r="J104" s="11" t="s">
        <v>216</v>
      </c>
      <c r="K104" s="11" t="s">
        <v>219</v>
      </c>
      <c r="L104" s="11" t="s">
        <v>219</v>
      </c>
      <c r="M104" s="11" t="s">
        <v>223</v>
      </c>
      <c r="N104" s="13"/>
    </row>
    <row r="105" spans="1:14" ht="10.9" customHeight="1">
      <c r="A105" s="11" t="s">
        <v>216</v>
      </c>
      <c r="B105" s="11" t="s">
        <v>216</v>
      </c>
      <c r="C105" s="11" t="s">
        <v>221</v>
      </c>
      <c r="D105" s="11" t="s">
        <v>222</v>
      </c>
      <c r="E105" s="11" t="s">
        <v>221</v>
      </c>
      <c r="F105" s="11" t="s">
        <v>222</v>
      </c>
      <c r="G105" s="11" t="s">
        <v>221</v>
      </c>
      <c r="H105" s="11" t="s">
        <v>214</v>
      </c>
      <c r="I105" s="11" t="s">
        <v>224</v>
      </c>
      <c r="J105" s="11" t="s">
        <v>211</v>
      </c>
      <c r="K105" s="11" t="s">
        <v>220</v>
      </c>
      <c r="L105" s="11" t="s">
        <v>220</v>
      </c>
      <c r="M105" s="11" t="s">
        <v>225</v>
      </c>
      <c r="N105" s="13"/>
    </row>
    <row r="106" spans="1:14" ht="10.9" customHeight="1">
      <c r="A106" s="11" t="s">
        <v>211</v>
      </c>
      <c r="B106" s="11" t="s">
        <v>211</v>
      </c>
      <c r="C106" s="11" t="s">
        <v>226</v>
      </c>
      <c r="D106" s="11" t="s">
        <v>224</v>
      </c>
      <c r="E106" s="11" t="s">
        <v>217</v>
      </c>
      <c r="F106" s="11" t="s">
        <v>224</v>
      </c>
      <c r="G106" s="11" t="s">
        <v>226</v>
      </c>
      <c r="H106" s="11" t="s">
        <v>219</v>
      </c>
      <c r="I106" s="11" t="s">
        <v>226</v>
      </c>
      <c r="J106" s="11" t="s">
        <v>222</v>
      </c>
      <c r="K106" s="11" t="s">
        <v>223</v>
      </c>
      <c r="L106" s="11" t="s">
        <v>223</v>
      </c>
      <c r="M106" s="11" t="s">
        <v>204</v>
      </c>
      <c r="N106" s="13"/>
    </row>
    <row r="107" spans="1:14" ht="10.9" customHeight="1">
      <c r="A107" s="11" t="s">
        <v>222</v>
      </c>
      <c r="B107" s="11" t="s">
        <v>222</v>
      </c>
      <c r="C107" s="11" t="s">
        <v>227</v>
      </c>
      <c r="D107" s="11" t="s">
        <v>226</v>
      </c>
      <c r="E107" s="11" t="s">
        <v>228</v>
      </c>
      <c r="F107" s="11" t="s">
        <v>226</v>
      </c>
      <c r="G107" s="11" t="s">
        <v>227</v>
      </c>
      <c r="H107" s="11" t="s">
        <v>220</v>
      </c>
      <c r="I107" s="11" t="s">
        <v>229</v>
      </c>
      <c r="J107" s="11" t="s">
        <v>224</v>
      </c>
      <c r="K107" s="11" t="s">
        <v>225</v>
      </c>
      <c r="L107" s="11" t="s">
        <v>225</v>
      </c>
      <c r="M107" s="11" t="s">
        <v>227</v>
      </c>
      <c r="N107" s="13"/>
    </row>
    <row r="108" spans="1:14" ht="10.9" customHeight="1">
      <c r="A108" s="11" t="s">
        <v>224</v>
      </c>
      <c r="B108" s="11" t="s">
        <v>224</v>
      </c>
      <c r="C108" s="13" t="s">
        <v>230</v>
      </c>
      <c r="D108" s="11" t="s">
        <v>229</v>
      </c>
      <c r="E108" s="11" t="s">
        <v>227</v>
      </c>
      <c r="F108" s="11" t="s">
        <v>229</v>
      </c>
      <c r="G108" s="13" t="s">
        <v>230</v>
      </c>
      <c r="H108" s="11" t="s">
        <v>223</v>
      </c>
      <c r="I108" s="11" t="s">
        <v>227</v>
      </c>
      <c r="J108" s="11" t="s">
        <v>221</v>
      </c>
      <c r="K108" s="11" t="s">
        <v>227</v>
      </c>
      <c r="L108" s="11" t="s">
        <v>227</v>
      </c>
      <c r="M108" s="13" t="s">
        <v>230</v>
      </c>
      <c r="N108" s="13"/>
    </row>
    <row r="109" spans="1:14" ht="10.9" customHeight="1">
      <c r="A109" s="11" t="s">
        <v>217</v>
      </c>
      <c r="B109" s="11" t="s">
        <v>217</v>
      </c>
      <c r="C109" s="13"/>
      <c r="D109" s="11" t="s">
        <v>228</v>
      </c>
      <c r="E109" s="13" t="s">
        <v>230</v>
      </c>
      <c r="F109" s="11" t="s">
        <v>227</v>
      </c>
      <c r="G109" s="13"/>
      <c r="H109" s="11" t="s">
        <v>225</v>
      </c>
      <c r="I109" s="13" t="s">
        <v>230</v>
      </c>
      <c r="J109" s="11" t="s">
        <v>217</v>
      </c>
      <c r="K109" s="13" t="s">
        <v>230</v>
      </c>
      <c r="L109" s="13" t="s">
        <v>230</v>
      </c>
      <c r="M109" s="13"/>
      <c r="N109" s="13"/>
    </row>
    <row r="110" spans="1:14" ht="10.9" customHeight="1">
      <c r="A110" s="11" t="s">
        <v>226</v>
      </c>
      <c r="B110" s="11" t="s">
        <v>226</v>
      </c>
      <c r="C110" s="13"/>
      <c r="D110" s="11" t="s">
        <v>227</v>
      </c>
      <c r="E110" s="13"/>
      <c r="F110" s="13" t="s">
        <v>230</v>
      </c>
      <c r="G110" s="13"/>
      <c r="H110" s="11" t="s">
        <v>204</v>
      </c>
      <c r="I110" s="13"/>
      <c r="J110" s="11" t="s">
        <v>226</v>
      </c>
      <c r="K110" s="13"/>
      <c r="L110" s="13"/>
      <c r="M110" s="13"/>
      <c r="N110" s="13"/>
    </row>
    <row r="111" spans="1:14" ht="10.9" customHeight="1">
      <c r="A111" s="11" t="s">
        <v>229</v>
      </c>
      <c r="B111" s="11" t="s">
        <v>229</v>
      </c>
      <c r="C111" s="13"/>
      <c r="D111" s="13" t="s">
        <v>230</v>
      </c>
      <c r="E111" s="13"/>
      <c r="F111" s="13"/>
      <c r="G111" s="13"/>
      <c r="H111" s="11" t="s">
        <v>227</v>
      </c>
      <c r="I111" s="13"/>
      <c r="J111" s="11" t="s">
        <v>229</v>
      </c>
      <c r="K111" s="13"/>
      <c r="L111" s="13"/>
      <c r="M111" s="13"/>
      <c r="N111" s="13"/>
    </row>
    <row r="112" spans="1:14" ht="10.9" customHeight="1">
      <c r="A112" s="11" t="s">
        <v>231</v>
      </c>
      <c r="B112" s="11" t="s">
        <v>231</v>
      </c>
      <c r="C112" s="13"/>
      <c r="D112" s="13"/>
      <c r="E112" s="13"/>
      <c r="F112" s="13"/>
      <c r="G112" s="13"/>
      <c r="H112" s="13" t="s">
        <v>230</v>
      </c>
      <c r="I112" s="13"/>
      <c r="J112" s="11" t="s">
        <v>204</v>
      </c>
      <c r="K112" s="13"/>
      <c r="L112" s="13"/>
      <c r="M112" s="13"/>
      <c r="N112" s="13"/>
    </row>
    <row r="113" spans="1:14" ht="10.9" customHeight="1">
      <c r="A113" s="11" t="s">
        <v>227</v>
      </c>
      <c r="B113" s="11" t="s">
        <v>227</v>
      </c>
      <c r="C113" s="13"/>
      <c r="D113" s="13"/>
      <c r="E113" s="13"/>
      <c r="F113" s="13"/>
      <c r="G113" s="13"/>
      <c r="H113" s="13"/>
      <c r="I113" s="13"/>
      <c r="J113" s="11" t="s">
        <v>227</v>
      </c>
      <c r="K113" s="13"/>
      <c r="L113" s="13"/>
      <c r="M113" s="13"/>
      <c r="N113" s="13"/>
    </row>
    <row r="114" spans="1:14" ht="10.9" customHeight="1">
      <c r="A114" s="13" t="s">
        <v>230</v>
      </c>
      <c r="B114" s="13" t="s">
        <v>230</v>
      </c>
      <c r="C114" s="13"/>
      <c r="D114" s="13"/>
      <c r="E114" s="13"/>
      <c r="F114" s="13"/>
      <c r="G114" s="13"/>
      <c r="H114" s="13"/>
      <c r="I114" s="13"/>
      <c r="J114" s="13" t="s">
        <v>230</v>
      </c>
      <c r="K114" s="13"/>
      <c r="L114" s="13"/>
      <c r="M114" s="13"/>
      <c r="N114" s="13"/>
    </row>
    <row r="115" spans="1:14" ht="10.9" customHeight="1" thickBo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</row>
    <row r="116" spans="1:14" ht="12.95" customHeight="1" thickBot="1">
      <c r="A116" s="282" t="s">
        <v>2</v>
      </c>
      <c r="B116" s="283" t="s">
        <v>59</v>
      </c>
      <c r="C116" s="283" t="s">
        <v>60</v>
      </c>
      <c r="D116" s="283" t="s">
        <v>61</v>
      </c>
      <c r="E116" s="283" t="s">
        <v>62</v>
      </c>
      <c r="F116" s="283" t="s">
        <v>63</v>
      </c>
      <c r="G116" s="283" t="s">
        <v>64</v>
      </c>
      <c r="H116" s="283" t="s">
        <v>65</v>
      </c>
      <c r="I116" s="283" t="s">
        <v>66</v>
      </c>
      <c r="J116" s="283" t="s">
        <v>67</v>
      </c>
      <c r="K116" s="283" t="s">
        <v>68</v>
      </c>
      <c r="L116" s="283" t="s">
        <v>69</v>
      </c>
      <c r="M116" s="283" t="s">
        <v>70</v>
      </c>
      <c r="N116" s="284" t="s">
        <v>71</v>
      </c>
    </row>
    <row r="117" spans="1:14" ht="10.9" customHeight="1">
      <c r="A117" s="11" t="s">
        <v>25</v>
      </c>
      <c r="B117" s="11" t="s">
        <v>25</v>
      </c>
      <c r="C117" s="11" t="s">
        <v>25</v>
      </c>
      <c r="D117" s="11" t="s">
        <v>25</v>
      </c>
      <c r="E117" s="11" t="s">
        <v>25</v>
      </c>
      <c r="F117" s="11" t="s">
        <v>25</v>
      </c>
      <c r="G117" s="11" t="s">
        <v>25</v>
      </c>
      <c r="H117" s="11" t="s">
        <v>25</v>
      </c>
      <c r="I117" s="11" t="s">
        <v>25</v>
      </c>
      <c r="J117" s="11" t="s">
        <v>25</v>
      </c>
      <c r="K117" s="11" t="s">
        <v>25</v>
      </c>
      <c r="L117" s="11" t="s">
        <v>25</v>
      </c>
      <c r="M117" s="11" t="s">
        <v>25</v>
      </c>
      <c r="N117" s="11" t="s">
        <v>25</v>
      </c>
    </row>
    <row r="118" spans="1:14" ht="10.9" customHeight="1">
      <c r="A118" s="11" t="s">
        <v>232</v>
      </c>
      <c r="B118" s="11" t="s">
        <v>232</v>
      </c>
      <c r="C118" s="11" t="s">
        <v>232</v>
      </c>
      <c r="D118" s="11" t="s">
        <v>232</v>
      </c>
      <c r="E118" s="11" t="s">
        <v>232</v>
      </c>
      <c r="F118" s="11" t="s">
        <v>232</v>
      </c>
      <c r="G118" s="11" t="s">
        <v>232</v>
      </c>
      <c r="H118" s="11" t="s">
        <v>232</v>
      </c>
      <c r="I118" s="11" t="s">
        <v>232</v>
      </c>
      <c r="J118" s="11" t="s">
        <v>232</v>
      </c>
      <c r="K118" s="11" t="s">
        <v>232</v>
      </c>
      <c r="L118" s="11" t="s">
        <v>232</v>
      </c>
      <c r="M118" s="11" t="s">
        <v>232</v>
      </c>
      <c r="N118" s="11" t="s">
        <v>232</v>
      </c>
    </row>
    <row r="119" spans="1:14" ht="10.9" customHeight="1">
      <c r="A119" s="11" t="s">
        <v>233</v>
      </c>
      <c r="B119" s="11" t="s">
        <v>233</v>
      </c>
      <c r="C119" s="11" t="s">
        <v>233</v>
      </c>
      <c r="D119" s="11" t="s">
        <v>233</v>
      </c>
      <c r="E119" s="11" t="s">
        <v>233</v>
      </c>
      <c r="F119" s="11" t="s">
        <v>233</v>
      </c>
      <c r="G119" s="11" t="s">
        <v>233</v>
      </c>
      <c r="H119" s="11" t="s">
        <v>233</v>
      </c>
      <c r="I119" s="11" t="s">
        <v>233</v>
      </c>
      <c r="J119" s="11" t="s">
        <v>233</v>
      </c>
      <c r="K119" s="11" t="s">
        <v>233</v>
      </c>
      <c r="L119" s="11" t="s">
        <v>233</v>
      </c>
      <c r="M119" s="11" t="s">
        <v>233</v>
      </c>
      <c r="N119" s="11" t="s">
        <v>233</v>
      </c>
    </row>
    <row r="120" spans="1:14" ht="10.9" customHeight="1">
      <c r="A120" s="11" t="s">
        <v>234</v>
      </c>
      <c r="B120" s="11" t="s">
        <v>234</v>
      </c>
      <c r="C120" s="11" t="s">
        <v>234</v>
      </c>
      <c r="D120" s="11" t="s">
        <v>234</v>
      </c>
      <c r="E120" s="11" t="s">
        <v>234</v>
      </c>
      <c r="F120" s="11" t="s">
        <v>234</v>
      </c>
      <c r="G120" s="11" t="s">
        <v>234</v>
      </c>
      <c r="H120" s="11" t="s">
        <v>234</v>
      </c>
      <c r="I120" s="11" t="s">
        <v>234</v>
      </c>
      <c r="J120" s="11" t="s">
        <v>234</v>
      </c>
      <c r="K120" s="11" t="s">
        <v>234</v>
      </c>
      <c r="L120" s="11" t="s">
        <v>234</v>
      </c>
      <c r="M120" s="11" t="s">
        <v>234</v>
      </c>
      <c r="N120" s="11" t="s">
        <v>234</v>
      </c>
    </row>
    <row r="121" spans="1:14" ht="10.9" customHeight="1">
      <c r="A121" s="11" t="s">
        <v>235</v>
      </c>
      <c r="B121" s="11" t="s">
        <v>235</v>
      </c>
      <c r="C121" s="11" t="s">
        <v>235</v>
      </c>
      <c r="D121" s="11" t="s">
        <v>235</v>
      </c>
      <c r="E121" s="11" t="s">
        <v>235</v>
      </c>
      <c r="F121" s="11" t="s">
        <v>235</v>
      </c>
      <c r="G121" s="11" t="s">
        <v>235</v>
      </c>
      <c r="H121" s="11" t="s">
        <v>235</v>
      </c>
      <c r="I121" s="11" t="s">
        <v>235</v>
      </c>
      <c r="J121" s="11" t="s">
        <v>235</v>
      </c>
      <c r="K121" s="11" t="s">
        <v>235</v>
      </c>
      <c r="L121" s="11" t="s">
        <v>235</v>
      </c>
      <c r="M121" s="11" t="s">
        <v>235</v>
      </c>
      <c r="N121" s="11" t="s">
        <v>235</v>
      </c>
    </row>
    <row r="122" spans="1:14" ht="10.9" customHeight="1">
      <c r="A122" s="11" t="s">
        <v>236</v>
      </c>
      <c r="B122" s="11" t="s">
        <v>236</v>
      </c>
      <c r="C122" s="11" t="s">
        <v>236</v>
      </c>
      <c r="D122" s="11" t="s">
        <v>236</v>
      </c>
      <c r="E122" s="11" t="s">
        <v>236</v>
      </c>
      <c r="F122" s="11" t="s">
        <v>236</v>
      </c>
      <c r="G122" s="11" t="s">
        <v>236</v>
      </c>
      <c r="H122" s="11" t="s">
        <v>236</v>
      </c>
      <c r="I122" s="11" t="s">
        <v>236</v>
      </c>
      <c r="J122" s="11" t="s">
        <v>236</v>
      </c>
      <c r="K122" s="11" t="s">
        <v>236</v>
      </c>
      <c r="L122" s="11" t="s">
        <v>236</v>
      </c>
      <c r="M122" s="11" t="s">
        <v>236</v>
      </c>
      <c r="N122" s="11" t="s">
        <v>236</v>
      </c>
    </row>
    <row r="123" spans="1:14" ht="10.9" customHeight="1">
      <c r="A123" s="11" t="s">
        <v>237</v>
      </c>
      <c r="B123" s="11" t="s">
        <v>237</v>
      </c>
      <c r="C123" s="11" t="s">
        <v>237</v>
      </c>
      <c r="D123" s="11" t="s">
        <v>237</v>
      </c>
      <c r="E123" s="11" t="s">
        <v>237</v>
      </c>
      <c r="F123" s="11" t="s">
        <v>237</v>
      </c>
      <c r="G123" s="11" t="s">
        <v>237</v>
      </c>
      <c r="H123" s="11" t="s">
        <v>237</v>
      </c>
      <c r="I123" s="11" t="s">
        <v>237</v>
      </c>
      <c r="J123" s="11" t="s">
        <v>237</v>
      </c>
      <c r="K123" s="11" t="s">
        <v>237</v>
      </c>
      <c r="L123" s="11" t="s">
        <v>237</v>
      </c>
      <c r="M123" s="11" t="s">
        <v>237</v>
      </c>
      <c r="N123" s="11" t="s">
        <v>237</v>
      </c>
    </row>
    <row r="124" spans="1:14" ht="10.9" customHeight="1">
      <c r="A124" s="11" t="s">
        <v>238</v>
      </c>
      <c r="B124" s="11" t="s">
        <v>238</v>
      </c>
      <c r="C124" s="11" t="s">
        <v>238</v>
      </c>
      <c r="D124" s="11" t="s">
        <v>238</v>
      </c>
      <c r="E124" s="11" t="s">
        <v>238</v>
      </c>
      <c r="F124" s="11" t="s">
        <v>238</v>
      </c>
      <c r="G124" s="11" t="s">
        <v>238</v>
      </c>
      <c r="H124" s="11" t="s">
        <v>238</v>
      </c>
      <c r="I124" s="11" t="s">
        <v>238</v>
      </c>
      <c r="J124" s="11" t="s">
        <v>238</v>
      </c>
      <c r="K124" s="11" t="s">
        <v>238</v>
      </c>
      <c r="L124" s="11" t="s">
        <v>238</v>
      </c>
      <c r="M124" s="11" t="s">
        <v>238</v>
      </c>
      <c r="N124" s="11" t="s">
        <v>238</v>
      </c>
    </row>
    <row r="125" spans="1:14" ht="10.9" customHeight="1">
      <c r="A125" s="11" t="s">
        <v>239</v>
      </c>
      <c r="B125" s="11" t="s">
        <v>239</v>
      </c>
      <c r="C125" s="11" t="s">
        <v>239</v>
      </c>
      <c r="D125" s="11" t="s">
        <v>239</v>
      </c>
      <c r="E125" s="11" t="s">
        <v>239</v>
      </c>
      <c r="F125" s="11" t="s">
        <v>239</v>
      </c>
      <c r="G125" s="11" t="s">
        <v>239</v>
      </c>
      <c r="H125" s="11" t="s">
        <v>239</v>
      </c>
      <c r="I125" s="11" t="s">
        <v>239</v>
      </c>
      <c r="J125" s="11" t="s">
        <v>239</v>
      </c>
      <c r="K125" s="11" t="s">
        <v>239</v>
      </c>
      <c r="L125" s="11" t="s">
        <v>239</v>
      </c>
      <c r="M125" s="11" t="s">
        <v>239</v>
      </c>
      <c r="N125" s="11" t="s">
        <v>239</v>
      </c>
    </row>
    <row r="126" spans="1:14" ht="10.9" customHeight="1">
      <c r="A126" s="11" t="s">
        <v>240</v>
      </c>
      <c r="B126" s="11" t="s">
        <v>240</v>
      </c>
      <c r="C126" s="11" t="s">
        <v>240</v>
      </c>
      <c r="D126" s="11" t="s">
        <v>240</v>
      </c>
      <c r="E126" s="11" t="s">
        <v>240</v>
      </c>
      <c r="F126" s="11" t="s">
        <v>240</v>
      </c>
      <c r="G126" s="11" t="s">
        <v>240</v>
      </c>
      <c r="H126" s="11" t="s">
        <v>240</v>
      </c>
      <c r="I126" s="11" t="s">
        <v>240</v>
      </c>
      <c r="J126" s="11" t="s">
        <v>240</v>
      </c>
      <c r="K126" s="11" t="s">
        <v>240</v>
      </c>
      <c r="L126" s="11" t="s">
        <v>240</v>
      </c>
      <c r="M126" s="11" t="s">
        <v>240</v>
      </c>
      <c r="N126" s="11" t="s">
        <v>240</v>
      </c>
    </row>
    <row r="127" spans="1:14" ht="10.9" customHeight="1">
      <c r="A127" s="11" t="s">
        <v>241</v>
      </c>
      <c r="B127" s="11" t="s">
        <v>241</v>
      </c>
      <c r="C127" s="11" t="s">
        <v>241</v>
      </c>
      <c r="D127" s="11" t="s">
        <v>241</v>
      </c>
      <c r="E127" s="11" t="s">
        <v>241</v>
      </c>
      <c r="F127" s="11" t="s">
        <v>241</v>
      </c>
      <c r="G127" s="11" t="s">
        <v>241</v>
      </c>
      <c r="H127" s="11" t="s">
        <v>241</v>
      </c>
      <c r="I127" s="11" t="s">
        <v>241</v>
      </c>
      <c r="J127" s="11" t="s">
        <v>241</v>
      </c>
      <c r="K127" s="11" t="s">
        <v>241</v>
      </c>
      <c r="L127" s="11" t="s">
        <v>241</v>
      </c>
      <c r="M127" s="11" t="s">
        <v>241</v>
      </c>
      <c r="N127" s="11" t="s">
        <v>241</v>
      </c>
    </row>
    <row r="128" spans="1:14" ht="10.9" customHeight="1">
      <c r="A128" s="11" t="s">
        <v>242</v>
      </c>
      <c r="B128" s="11" t="s">
        <v>242</v>
      </c>
      <c r="C128" s="11" t="s">
        <v>242</v>
      </c>
      <c r="D128" s="11" t="s">
        <v>242</v>
      </c>
      <c r="E128" s="11" t="s">
        <v>242</v>
      </c>
      <c r="F128" s="11" t="s">
        <v>242</v>
      </c>
      <c r="G128" s="11" t="s">
        <v>242</v>
      </c>
      <c r="H128" s="11" t="s">
        <v>242</v>
      </c>
      <c r="I128" s="11" t="s">
        <v>242</v>
      </c>
      <c r="J128" s="11" t="s">
        <v>242</v>
      </c>
      <c r="K128" s="11" t="s">
        <v>242</v>
      </c>
      <c r="L128" s="11" t="s">
        <v>242</v>
      </c>
      <c r="M128" s="11" t="s">
        <v>242</v>
      </c>
      <c r="N128" s="11" t="s">
        <v>242</v>
      </c>
    </row>
    <row r="129" spans="1:14" ht="10.9" customHeight="1">
      <c r="A129" s="11" t="s">
        <v>243</v>
      </c>
      <c r="B129" s="11" t="s">
        <v>243</v>
      </c>
      <c r="C129" s="11" t="s">
        <v>243</v>
      </c>
      <c r="D129" s="11" t="s">
        <v>243</v>
      </c>
      <c r="E129" s="11" t="s">
        <v>243</v>
      </c>
      <c r="F129" s="11" t="s">
        <v>243</v>
      </c>
      <c r="G129" s="11" t="s">
        <v>243</v>
      </c>
      <c r="H129" s="11" t="s">
        <v>243</v>
      </c>
      <c r="I129" s="11" t="s">
        <v>243</v>
      </c>
      <c r="J129" s="11" t="s">
        <v>243</v>
      </c>
      <c r="K129" s="11" t="s">
        <v>243</v>
      </c>
      <c r="L129" s="11" t="s">
        <v>243</v>
      </c>
      <c r="M129" s="11" t="s">
        <v>243</v>
      </c>
      <c r="N129" s="11" t="s">
        <v>243</v>
      </c>
    </row>
    <row r="130" spans="1:14" ht="10.9" customHeight="1">
      <c r="A130" s="11" t="s">
        <v>244</v>
      </c>
      <c r="B130" s="11" t="s">
        <v>244</v>
      </c>
      <c r="C130" s="11" t="s">
        <v>244</v>
      </c>
      <c r="D130" s="11" t="s">
        <v>244</v>
      </c>
      <c r="E130" s="11" t="s">
        <v>244</v>
      </c>
      <c r="F130" s="11" t="s">
        <v>244</v>
      </c>
      <c r="G130" s="11" t="s">
        <v>244</v>
      </c>
      <c r="H130" s="11" t="s">
        <v>244</v>
      </c>
      <c r="I130" s="11" t="s">
        <v>244</v>
      </c>
      <c r="J130" s="11" t="s">
        <v>244</v>
      </c>
      <c r="K130" s="11" t="s">
        <v>244</v>
      </c>
      <c r="L130" s="11" t="s">
        <v>244</v>
      </c>
      <c r="M130" s="11" t="s">
        <v>244</v>
      </c>
      <c r="N130" s="11" t="s">
        <v>244</v>
      </c>
    </row>
    <row r="131" spans="1:14" ht="10.9" customHeight="1">
      <c r="A131" s="11" t="s">
        <v>245</v>
      </c>
      <c r="B131" s="11" t="s">
        <v>245</v>
      </c>
      <c r="C131" s="11" t="s">
        <v>245</v>
      </c>
      <c r="D131" s="11" t="s">
        <v>245</v>
      </c>
      <c r="E131" s="11" t="s">
        <v>245</v>
      </c>
      <c r="F131" s="11" t="s">
        <v>245</v>
      </c>
      <c r="G131" s="11" t="s">
        <v>245</v>
      </c>
      <c r="H131" s="11" t="s">
        <v>245</v>
      </c>
      <c r="I131" s="11" t="s">
        <v>245</v>
      </c>
      <c r="J131" s="11" t="s">
        <v>245</v>
      </c>
      <c r="K131" s="11" t="s">
        <v>245</v>
      </c>
      <c r="L131" s="11" t="s">
        <v>245</v>
      </c>
      <c r="M131" s="11" t="s">
        <v>245</v>
      </c>
      <c r="N131" s="11" t="s">
        <v>245</v>
      </c>
    </row>
    <row r="132" spans="1:14" ht="10.9" customHeight="1">
      <c r="A132" s="11" t="s">
        <v>246</v>
      </c>
      <c r="B132" s="11" t="s">
        <v>246</v>
      </c>
      <c r="C132" s="11" t="s">
        <v>246</v>
      </c>
      <c r="D132" s="11" t="s">
        <v>246</v>
      </c>
      <c r="E132" s="11" t="s">
        <v>246</v>
      </c>
      <c r="F132" s="11" t="s">
        <v>246</v>
      </c>
      <c r="G132" s="11" t="s">
        <v>246</v>
      </c>
      <c r="H132" s="11" t="s">
        <v>246</v>
      </c>
      <c r="I132" s="11" t="s">
        <v>246</v>
      </c>
      <c r="J132" s="11" t="s">
        <v>246</v>
      </c>
      <c r="K132" s="11" t="s">
        <v>246</v>
      </c>
      <c r="L132" s="11" t="s">
        <v>246</v>
      </c>
      <c r="M132" s="11" t="s">
        <v>246</v>
      </c>
      <c r="N132" s="11" t="s">
        <v>246</v>
      </c>
    </row>
    <row r="133" spans="1:14" ht="10.9" customHeight="1">
      <c r="A133" s="11" t="s">
        <v>247</v>
      </c>
      <c r="B133" s="11" t="s">
        <v>247</v>
      </c>
      <c r="C133" s="11" t="s">
        <v>247</v>
      </c>
      <c r="D133" s="11" t="s">
        <v>247</v>
      </c>
      <c r="E133" s="11" t="s">
        <v>247</v>
      </c>
      <c r="F133" s="11" t="s">
        <v>247</v>
      </c>
      <c r="G133" s="11" t="s">
        <v>247</v>
      </c>
      <c r="H133" s="11" t="s">
        <v>247</v>
      </c>
      <c r="I133" s="11" t="s">
        <v>247</v>
      </c>
      <c r="J133" s="11" t="s">
        <v>247</v>
      </c>
      <c r="K133" s="11" t="s">
        <v>247</v>
      </c>
      <c r="L133" s="11" t="s">
        <v>247</v>
      </c>
      <c r="M133" s="11" t="s">
        <v>247</v>
      </c>
      <c r="N133" s="11" t="s">
        <v>247</v>
      </c>
    </row>
    <row r="134" spans="1:14" ht="10.9" customHeight="1">
      <c r="A134" s="11" t="s">
        <v>248</v>
      </c>
      <c r="B134" s="11" t="s">
        <v>248</v>
      </c>
      <c r="C134" s="11" t="s">
        <v>248</v>
      </c>
      <c r="D134" s="11" t="s">
        <v>248</v>
      </c>
      <c r="E134" s="11" t="s">
        <v>248</v>
      </c>
      <c r="F134" s="11" t="s">
        <v>248</v>
      </c>
      <c r="G134" s="11" t="s">
        <v>248</v>
      </c>
      <c r="H134" s="11" t="s">
        <v>248</v>
      </c>
      <c r="I134" s="11" t="s">
        <v>248</v>
      </c>
      <c r="J134" s="11" t="s">
        <v>248</v>
      </c>
      <c r="K134" s="11" t="s">
        <v>248</v>
      </c>
      <c r="L134" s="11" t="s">
        <v>248</v>
      </c>
      <c r="M134" s="11" t="s">
        <v>248</v>
      </c>
      <c r="N134" s="11" t="s">
        <v>248</v>
      </c>
    </row>
    <row r="135" spans="1:14" ht="10.9" customHeight="1">
      <c r="A135" s="11" t="s">
        <v>249</v>
      </c>
      <c r="B135" s="11" t="s">
        <v>249</v>
      </c>
      <c r="C135" s="11" t="s">
        <v>249</v>
      </c>
      <c r="D135" s="11" t="s">
        <v>249</v>
      </c>
      <c r="E135" s="11" t="s">
        <v>249</v>
      </c>
      <c r="F135" s="11" t="s">
        <v>249</v>
      </c>
      <c r="G135" s="11" t="s">
        <v>249</v>
      </c>
      <c r="H135" s="11" t="s">
        <v>249</v>
      </c>
      <c r="I135" s="11" t="s">
        <v>249</v>
      </c>
      <c r="J135" s="11" t="s">
        <v>249</v>
      </c>
      <c r="K135" s="11" t="s">
        <v>249</v>
      </c>
      <c r="L135" s="11" t="s">
        <v>249</v>
      </c>
      <c r="M135" s="11" t="s">
        <v>249</v>
      </c>
      <c r="N135" s="11" t="s">
        <v>249</v>
      </c>
    </row>
    <row r="136" spans="1:14" ht="10.9" customHeight="1">
      <c r="A136" s="11" t="s">
        <v>250</v>
      </c>
      <c r="B136" s="11" t="s">
        <v>250</v>
      </c>
      <c r="C136" s="11" t="s">
        <v>250</v>
      </c>
      <c r="D136" s="11" t="s">
        <v>250</v>
      </c>
      <c r="E136" s="11" t="s">
        <v>250</v>
      </c>
      <c r="F136" s="11" t="s">
        <v>250</v>
      </c>
      <c r="G136" s="11" t="s">
        <v>250</v>
      </c>
      <c r="H136" s="11" t="s">
        <v>250</v>
      </c>
      <c r="I136" s="11" t="s">
        <v>250</v>
      </c>
      <c r="J136" s="11" t="s">
        <v>250</v>
      </c>
      <c r="K136" s="11" t="s">
        <v>250</v>
      </c>
      <c r="L136" s="11" t="s">
        <v>250</v>
      </c>
      <c r="M136" s="11" t="s">
        <v>250</v>
      </c>
      <c r="N136" s="11" t="s">
        <v>250</v>
      </c>
    </row>
    <row r="137" spans="1:14" ht="10.9" customHeight="1">
      <c r="A137" s="11" t="s">
        <v>251</v>
      </c>
      <c r="B137" s="11" t="s">
        <v>251</v>
      </c>
      <c r="C137" s="11" t="s">
        <v>251</v>
      </c>
      <c r="D137" s="11" t="s">
        <v>251</v>
      </c>
      <c r="E137" s="11" t="s">
        <v>251</v>
      </c>
      <c r="F137" s="11" t="s">
        <v>251</v>
      </c>
      <c r="G137" s="11" t="s">
        <v>251</v>
      </c>
      <c r="H137" s="11" t="s">
        <v>251</v>
      </c>
      <c r="I137" s="11" t="s">
        <v>251</v>
      </c>
      <c r="J137" s="11" t="s">
        <v>251</v>
      </c>
      <c r="K137" s="11" t="s">
        <v>251</v>
      </c>
      <c r="L137" s="11" t="s">
        <v>251</v>
      </c>
      <c r="M137" s="11" t="s">
        <v>251</v>
      </c>
      <c r="N137" s="11" t="s">
        <v>251</v>
      </c>
    </row>
    <row r="138" spans="1:14" ht="10.9" customHeight="1">
      <c r="A138" s="11" t="s">
        <v>252</v>
      </c>
      <c r="B138" s="11" t="s">
        <v>252</v>
      </c>
      <c r="C138" s="11" t="s">
        <v>252</v>
      </c>
      <c r="D138" s="11" t="s">
        <v>252</v>
      </c>
      <c r="E138" s="11" t="s">
        <v>252</v>
      </c>
      <c r="F138" s="11" t="s">
        <v>252</v>
      </c>
      <c r="G138" s="11" t="s">
        <v>252</v>
      </c>
      <c r="H138" s="11" t="s">
        <v>252</v>
      </c>
      <c r="I138" s="11" t="s">
        <v>252</v>
      </c>
      <c r="J138" s="11" t="s">
        <v>252</v>
      </c>
      <c r="K138" s="11" t="s">
        <v>252</v>
      </c>
      <c r="L138" s="11" t="s">
        <v>252</v>
      </c>
      <c r="M138" s="11" t="s">
        <v>252</v>
      </c>
      <c r="N138" s="11" t="s">
        <v>252</v>
      </c>
    </row>
    <row r="139" spans="1:14" ht="10.9" customHeight="1">
      <c r="A139" s="11" t="s">
        <v>253</v>
      </c>
      <c r="B139" s="11" t="s">
        <v>253</v>
      </c>
      <c r="C139" s="11" t="s">
        <v>253</v>
      </c>
      <c r="D139" s="11" t="s">
        <v>253</v>
      </c>
      <c r="E139" s="11" t="s">
        <v>253</v>
      </c>
      <c r="F139" s="11" t="s">
        <v>253</v>
      </c>
      <c r="G139" s="11" t="s">
        <v>253</v>
      </c>
      <c r="H139" s="11" t="s">
        <v>253</v>
      </c>
      <c r="I139" s="11" t="s">
        <v>253</v>
      </c>
      <c r="J139" s="11" t="s">
        <v>253</v>
      </c>
      <c r="K139" s="11" t="s">
        <v>253</v>
      </c>
      <c r="L139" s="11" t="s">
        <v>253</v>
      </c>
      <c r="M139" s="11" t="s">
        <v>253</v>
      </c>
      <c r="N139" s="11" t="s">
        <v>253</v>
      </c>
    </row>
    <row r="140" spans="1:14" ht="10.9" customHeight="1">
      <c r="A140" s="11" t="s">
        <v>254</v>
      </c>
      <c r="B140" s="11" t="s">
        <v>254</v>
      </c>
      <c r="C140" s="11" t="s">
        <v>254</v>
      </c>
      <c r="D140" s="11" t="s">
        <v>254</v>
      </c>
      <c r="E140" s="11" t="s">
        <v>254</v>
      </c>
      <c r="F140" s="11" t="s">
        <v>254</v>
      </c>
      <c r="G140" s="11" t="s">
        <v>254</v>
      </c>
      <c r="H140" s="11" t="s">
        <v>254</v>
      </c>
      <c r="I140" s="11" t="s">
        <v>254</v>
      </c>
      <c r="J140" s="11" t="s">
        <v>254</v>
      </c>
      <c r="K140" s="11" t="s">
        <v>254</v>
      </c>
      <c r="L140" s="11" t="s">
        <v>254</v>
      </c>
      <c r="M140" s="11" t="s">
        <v>254</v>
      </c>
      <c r="N140" s="11" t="s">
        <v>254</v>
      </c>
    </row>
    <row r="141" spans="1:14" ht="10.9" customHeight="1">
      <c r="A141" s="11" t="s">
        <v>255</v>
      </c>
      <c r="B141" s="11" t="s">
        <v>255</v>
      </c>
      <c r="C141" s="11" t="s">
        <v>255</v>
      </c>
      <c r="D141" s="11" t="s">
        <v>255</v>
      </c>
      <c r="E141" s="11" t="s">
        <v>255</v>
      </c>
      <c r="F141" s="11" t="s">
        <v>255</v>
      </c>
      <c r="G141" s="11" t="s">
        <v>255</v>
      </c>
      <c r="H141" s="11" t="s">
        <v>255</v>
      </c>
      <c r="I141" s="11" t="s">
        <v>255</v>
      </c>
      <c r="J141" s="11" t="s">
        <v>255</v>
      </c>
      <c r="K141" s="11" t="s">
        <v>255</v>
      </c>
      <c r="L141" s="11" t="s">
        <v>255</v>
      </c>
      <c r="M141" s="11" t="s">
        <v>255</v>
      </c>
      <c r="N141" s="11" t="s">
        <v>255</v>
      </c>
    </row>
    <row r="142" spans="1:14" ht="10.9" customHeight="1">
      <c r="A142" s="11" t="s">
        <v>256</v>
      </c>
      <c r="B142" s="11" t="s">
        <v>256</v>
      </c>
      <c r="C142" s="11" t="s">
        <v>256</v>
      </c>
      <c r="D142" s="11" t="s">
        <v>256</v>
      </c>
      <c r="E142" s="11" t="s">
        <v>256</v>
      </c>
      <c r="F142" s="11" t="s">
        <v>256</v>
      </c>
      <c r="G142" s="11" t="s">
        <v>256</v>
      </c>
      <c r="H142" s="11" t="s">
        <v>256</v>
      </c>
      <c r="I142" s="11" t="s">
        <v>256</v>
      </c>
      <c r="J142" s="11" t="s">
        <v>256</v>
      </c>
      <c r="K142" s="11" t="s">
        <v>256</v>
      </c>
      <c r="L142" s="11" t="s">
        <v>256</v>
      </c>
      <c r="M142" s="11" t="s">
        <v>256</v>
      </c>
      <c r="N142" s="11" t="s">
        <v>256</v>
      </c>
    </row>
    <row r="143" spans="1:14" ht="10.9" customHeight="1">
      <c r="A143" s="11" t="s">
        <v>257</v>
      </c>
      <c r="B143" s="11" t="s">
        <v>257</v>
      </c>
      <c r="C143" s="11" t="s">
        <v>257</v>
      </c>
      <c r="D143" s="11" t="s">
        <v>257</v>
      </c>
      <c r="E143" s="11" t="s">
        <v>257</v>
      </c>
      <c r="F143" s="11" t="s">
        <v>257</v>
      </c>
      <c r="G143" s="11" t="s">
        <v>257</v>
      </c>
      <c r="H143" s="11" t="s">
        <v>257</v>
      </c>
      <c r="I143" s="11" t="s">
        <v>257</v>
      </c>
      <c r="J143" s="11" t="s">
        <v>257</v>
      </c>
      <c r="K143" s="11" t="s">
        <v>257</v>
      </c>
      <c r="L143" s="11" t="s">
        <v>257</v>
      </c>
      <c r="M143" s="11" t="s">
        <v>257</v>
      </c>
      <c r="N143" s="11" t="s">
        <v>257</v>
      </c>
    </row>
    <row r="144" spans="1:14" ht="10.9" customHeight="1">
      <c r="A144" s="11" t="s">
        <v>258</v>
      </c>
      <c r="B144" s="11" t="s">
        <v>258</v>
      </c>
      <c r="C144" s="11" t="s">
        <v>258</v>
      </c>
      <c r="D144" s="11" t="s">
        <v>258</v>
      </c>
      <c r="E144" s="11" t="s">
        <v>258</v>
      </c>
      <c r="F144" s="11" t="s">
        <v>258</v>
      </c>
      <c r="G144" s="11" t="s">
        <v>258</v>
      </c>
      <c r="H144" s="11" t="s">
        <v>25</v>
      </c>
      <c r="I144" s="11" t="s">
        <v>258</v>
      </c>
      <c r="J144" s="11" t="s">
        <v>258</v>
      </c>
      <c r="K144" s="11" t="s">
        <v>258</v>
      </c>
      <c r="L144" s="11" t="s">
        <v>258</v>
      </c>
      <c r="M144" s="11" t="s">
        <v>258</v>
      </c>
      <c r="N144" s="11" t="s">
        <v>25</v>
      </c>
    </row>
    <row r="145" spans="1:14" ht="10.9" customHeight="1">
      <c r="A145" s="11" t="s">
        <v>259</v>
      </c>
      <c r="B145" s="11" t="s">
        <v>259</v>
      </c>
      <c r="C145" s="11" t="s">
        <v>259</v>
      </c>
      <c r="D145" s="11" t="s">
        <v>259</v>
      </c>
      <c r="E145" s="11" t="s">
        <v>259</v>
      </c>
      <c r="F145" s="11" t="s">
        <v>259</v>
      </c>
      <c r="G145" s="11" t="s">
        <v>259</v>
      </c>
      <c r="H145" s="11" t="s">
        <v>260</v>
      </c>
      <c r="I145" s="11" t="s">
        <v>259</v>
      </c>
      <c r="J145" s="11" t="s">
        <v>259</v>
      </c>
      <c r="K145" s="11" t="s">
        <v>259</v>
      </c>
      <c r="L145" s="11" t="s">
        <v>259</v>
      </c>
      <c r="M145" s="11" t="s">
        <v>259</v>
      </c>
      <c r="N145" s="11" t="s">
        <v>260</v>
      </c>
    </row>
    <row r="146" spans="1:14" ht="10.9" customHeight="1">
      <c r="A146" s="11" t="s">
        <v>25</v>
      </c>
      <c r="B146" s="11" t="s">
        <v>25</v>
      </c>
      <c r="C146" s="11" t="s">
        <v>25</v>
      </c>
      <c r="D146" s="11" t="s">
        <v>25</v>
      </c>
      <c r="E146" s="11" t="s">
        <v>25</v>
      </c>
      <c r="F146" s="11" t="s">
        <v>25</v>
      </c>
      <c r="G146" s="11" t="s">
        <v>25</v>
      </c>
      <c r="H146" s="11" t="s">
        <v>261</v>
      </c>
      <c r="I146" s="11" t="s">
        <v>25</v>
      </c>
      <c r="J146" s="11" t="s">
        <v>25</v>
      </c>
      <c r="K146" s="11" t="s">
        <v>25</v>
      </c>
      <c r="L146" s="11" t="s">
        <v>25</v>
      </c>
      <c r="M146" s="11" t="s">
        <v>25</v>
      </c>
      <c r="N146" s="11" t="s">
        <v>261</v>
      </c>
    </row>
    <row r="147" spans="1:14" ht="10.9" customHeight="1">
      <c r="A147" s="11" t="s">
        <v>260</v>
      </c>
      <c r="B147" s="11" t="s">
        <v>260</v>
      </c>
      <c r="C147" s="11" t="s">
        <v>260</v>
      </c>
      <c r="D147" s="11" t="s">
        <v>260</v>
      </c>
      <c r="E147" s="11" t="s">
        <v>260</v>
      </c>
      <c r="F147" s="11" t="s">
        <v>260</v>
      </c>
      <c r="G147" s="11" t="s">
        <v>260</v>
      </c>
      <c r="H147" s="11" t="s">
        <v>25</v>
      </c>
      <c r="I147" s="11" t="s">
        <v>260</v>
      </c>
      <c r="J147" s="11" t="s">
        <v>260</v>
      </c>
      <c r="K147" s="11" t="s">
        <v>260</v>
      </c>
      <c r="L147" s="11" t="s">
        <v>260</v>
      </c>
      <c r="M147" s="11" t="s">
        <v>260</v>
      </c>
      <c r="N147" s="11" t="s">
        <v>25</v>
      </c>
    </row>
    <row r="148" spans="1:14" ht="10.9" customHeight="1">
      <c r="A148" s="11" t="s">
        <v>261</v>
      </c>
      <c r="B148" s="11" t="s">
        <v>261</v>
      </c>
      <c r="C148" s="11" t="s">
        <v>261</v>
      </c>
      <c r="D148" s="11" t="s">
        <v>261</v>
      </c>
      <c r="E148" s="11" t="s">
        <v>261</v>
      </c>
      <c r="F148" s="11" t="s">
        <v>261</v>
      </c>
      <c r="G148" s="11" t="s">
        <v>261</v>
      </c>
      <c r="H148" s="11" t="s">
        <v>1281</v>
      </c>
      <c r="I148" s="11" t="s">
        <v>261</v>
      </c>
      <c r="J148" s="11" t="s">
        <v>261</v>
      </c>
      <c r="K148" s="11" t="s">
        <v>261</v>
      </c>
      <c r="L148" s="11" t="s">
        <v>261</v>
      </c>
      <c r="M148" s="11" t="s">
        <v>261</v>
      </c>
      <c r="N148" s="11" t="s">
        <v>1281</v>
      </c>
    </row>
    <row r="149" spans="1:14" ht="10.9" customHeight="1">
      <c r="A149" s="11" t="s">
        <v>25</v>
      </c>
      <c r="B149" s="11" t="s">
        <v>25</v>
      </c>
      <c r="C149" s="11" t="s">
        <v>25</v>
      </c>
      <c r="D149" s="11" t="s">
        <v>25</v>
      </c>
      <c r="E149" s="11" t="s">
        <v>25</v>
      </c>
      <c r="F149" s="11" t="s">
        <v>25</v>
      </c>
      <c r="G149" s="11" t="s">
        <v>25</v>
      </c>
      <c r="H149" s="11" t="s">
        <v>262</v>
      </c>
      <c r="I149" s="11" t="s">
        <v>25</v>
      </c>
      <c r="J149" s="11" t="s">
        <v>25</v>
      </c>
      <c r="K149" s="11" t="s">
        <v>25</v>
      </c>
      <c r="L149" s="11" t="s">
        <v>25</v>
      </c>
      <c r="M149" s="11" t="s">
        <v>25</v>
      </c>
      <c r="N149" s="11" t="s">
        <v>262</v>
      </c>
    </row>
    <row r="150" spans="1:14" ht="10.9" customHeight="1">
      <c r="A150" s="11" t="s">
        <v>263</v>
      </c>
      <c r="B150" s="11" t="s">
        <v>263</v>
      </c>
      <c r="C150" s="11" t="s">
        <v>264</v>
      </c>
      <c r="D150" s="11" t="s">
        <v>265</v>
      </c>
      <c r="E150" s="11" t="s">
        <v>266</v>
      </c>
      <c r="F150" s="11" t="s">
        <v>266</v>
      </c>
      <c r="G150" s="11" t="s">
        <v>267</v>
      </c>
      <c r="H150" s="13"/>
      <c r="I150" s="11" t="s">
        <v>268</v>
      </c>
      <c r="J150" s="11" t="s">
        <v>265</v>
      </c>
      <c r="K150" s="11" t="s">
        <v>269</v>
      </c>
      <c r="L150" s="11" t="s">
        <v>263</v>
      </c>
      <c r="M150" s="11" t="s">
        <v>265</v>
      </c>
      <c r="N150" s="13"/>
    </row>
    <row r="151" spans="1:14" ht="10.9" customHeight="1">
      <c r="A151" s="11" t="s">
        <v>270</v>
      </c>
      <c r="B151" s="11" t="s">
        <v>271</v>
      </c>
      <c r="C151" s="11" t="s">
        <v>267</v>
      </c>
      <c r="D151" s="11" t="s">
        <v>266</v>
      </c>
      <c r="E151" s="13"/>
      <c r="F151" s="13"/>
      <c r="G151" s="11" t="s">
        <v>272</v>
      </c>
      <c r="H151" s="13"/>
      <c r="I151" s="11" t="s">
        <v>273</v>
      </c>
      <c r="J151" s="11" t="s">
        <v>274</v>
      </c>
      <c r="K151" s="13"/>
      <c r="L151" s="11" t="s">
        <v>272</v>
      </c>
      <c r="M151" s="11" t="s">
        <v>264</v>
      </c>
      <c r="N151" s="13"/>
    </row>
    <row r="152" spans="1:14" ht="10.9" customHeight="1">
      <c r="A152" s="12"/>
      <c r="B152" s="12"/>
      <c r="C152" s="11" t="s">
        <v>269</v>
      </c>
      <c r="D152" s="13"/>
      <c r="E152" s="13"/>
      <c r="F152" s="13"/>
      <c r="G152" s="11"/>
      <c r="H152" s="13"/>
      <c r="I152" s="13"/>
      <c r="J152" s="11" t="s">
        <v>269</v>
      </c>
      <c r="K152" s="13"/>
      <c r="L152" s="13"/>
      <c r="M152" s="11" t="s">
        <v>273</v>
      </c>
      <c r="N152" s="13"/>
    </row>
    <row r="153" spans="1:14" ht="10.9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 t="s">
        <v>274</v>
      </c>
      <c r="N153" s="13"/>
    </row>
    <row r="154" spans="1:14" ht="10.9" customHeight="1" thickBo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</row>
    <row r="155" spans="1:14" ht="12.95" customHeight="1" thickBot="1">
      <c r="A155" s="282" t="s">
        <v>2</v>
      </c>
      <c r="B155" s="283" t="s">
        <v>59</v>
      </c>
      <c r="C155" s="283" t="s">
        <v>60</v>
      </c>
      <c r="D155" s="283" t="s">
        <v>61</v>
      </c>
      <c r="E155" s="283" t="s">
        <v>62</v>
      </c>
      <c r="F155" s="283" t="s">
        <v>63</v>
      </c>
      <c r="G155" s="283" t="s">
        <v>64</v>
      </c>
      <c r="H155" s="283" t="s">
        <v>65</v>
      </c>
      <c r="I155" s="283" t="s">
        <v>66</v>
      </c>
      <c r="J155" s="283" t="s">
        <v>67</v>
      </c>
      <c r="K155" s="283" t="s">
        <v>68</v>
      </c>
      <c r="L155" s="283" t="s">
        <v>69</v>
      </c>
      <c r="M155" s="283" t="s">
        <v>70</v>
      </c>
      <c r="N155" s="284" t="s">
        <v>71</v>
      </c>
    </row>
    <row r="156" spans="1:14" ht="10.9" customHeight="1">
      <c r="A156" s="11" t="str">
        <f>IF(VLOOKUP(Damage!U4,Stats!A370:G447,7,0)="","-",Damage!U4)</f>
        <v>-</v>
      </c>
      <c r="B156" s="11" t="str">
        <f>IF(VLOOKUP(Damage!U4,Stats!A370:G447,7,0)="","-",Damage!U4)</f>
        <v>-</v>
      </c>
      <c r="C156" s="11" t="str">
        <f>IF(VLOOKUP(Damage!U4,Stats!A370:G447,7,0)="","-",Damage!U4)</f>
        <v>-</v>
      </c>
      <c r="D156" s="11" t="str">
        <f>IF(VLOOKUP(Damage!U4,Stats!A370:G447,7,0)="","-",Damage!U4)</f>
        <v>-</v>
      </c>
      <c r="E156" s="11" t="str">
        <f>IF(VLOOKUP(Damage!U4,Stats!A370:G447,7,0)="","-",Damage!U4)</f>
        <v>-</v>
      </c>
      <c r="F156" s="11" t="s">
        <v>25</v>
      </c>
      <c r="G156" s="11" t="str">
        <f>IF(VLOOKUP(Damage!U4,Stats!A370:G447,7,0)="","-",Damage!U4)</f>
        <v>-</v>
      </c>
      <c r="H156" s="11" t="s">
        <v>25</v>
      </c>
      <c r="I156" s="11" t="s">
        <v>25</v>
      </c>
      <c r="J156" s="11" t="str">
        <f>IF(VLOOKUP(Damage!U4,Stats!A370:G447,7,0)="","-",Damage!U4)</f>
        <v>-</v>
      </c>
      <c r="K156" s="11" t="str">
        <f>IF(VLOOKUP(Damage!U4,Stats!A370:G447,7,0)="","-",Damage!U4)</f>
        <v>-</v>
      </c>
      <c r="L156" s="11" t="str">
        <f>IF(VLOOKUP(Damage!U4,Stats!A370:G447,7,0)="","-",Damage!U4)</f>
        <v>-</v>
      </c>
      <c r="M156" s="15" t="str">
        <f>IF(VLOOKUP(Damage!U4,Stats!A370:G447,7,0)="","-",Damage!U4)</f>
        <v>-</v>
      </c>
      <c r="N156" s="11" t="s">
        <v>25</v>
      </c>
    </row>
    <row r="157" spans="1:14" ht="10.9" customHeight="1">
      <c r="A157" s="11" t="s">
        <v>275</v>
      </c>
      <c r="B157" s="11" t="s">
        <v>276</v>
      </c>
      <c r="C157" s="11" t="s">
        <v>275</v>
      </c>
      <c r="D157" s="11" t="s">
        <v>277</v>
      </c>
      <c r="E157" s="11" t="str">
        <f>IF(VLOOKUP(Damage!U6,Stats!A370:G447,7,0)="","-",Damage!U6)</f>
        <v>-</v>
      </c>
      <c r="F157" s="11" t="s">
        <v>278</v>
      </c>
      <c r="G157" s="11" t="str">
        <f>IF(VLOOKUP(Damage!U6,Stats!A370:G447,7,0)="","-",Damage!U6)</f>
        <v>-</v>
      </c>
      <c r="H157" s="11" t="s">
        <v>279</v>
      </c>
      <c r="I157" s="11" t="s">
        <v>280</v>
      </c>
      <c r="J157" s="11" t="s">
        <v>280</v>
      </c>
      <c r="K157" s="11" t="s">
        <v>276</v>
      </c>
      <c r="L157" s="11" t="s">
        <v>275</v>
      </c>
      <c r="M157" s="15" t="s">
        <v>275</v>
      </c>
      <c r="N157" s="11"/>
    </row>
    <row r="158" spans="1:14" ht="10.9" customHeight="1">
      <c r="A158" s="11" t="s">
        <v>281</v>
      </c>
      <c r="B158" s="11" t="s">
        <v>282</v>
      </c>
      <c r="C158" s="11" t="s">
        <v>281</v>
      </c>
      <c r="D158" s="11" t="s">
        <v>25</v>
      </c>
      <c r="E158" s="11" t="s">
        <v>283</v>
      </c>
      <c r="F158" s="11" t="s">
        <v>284</v>
      </c>
      <c r="G158" s="11" t="s">
        <v>25</v>
      </c>
      <c r="H158" s="11" t="s">
        <v>285</v>
      </c>
      <c r="I158" s="11" t="s">
        <v>286</v>
      </c>
      <c r="J158" s="11" t="s">
        <v>286</v>
      </c>
      <c r="K158" s="11" t="s">
        <v>282</v>
      </c>
      <c r="L158" s="11" t="s">
        <v>281</v>
      </c>
      <c r="M158" s="15" t="s">
        <v>281</v>
      </c>
      <c r="N158" s="11"/>
    </row>
    <row r="159" spans="1:14" ht="10.9" customHeight="1">
      <c r="A159" s="11" t="s">
        <v>279</v>
      </c>
      <c r="B159" s="11" t="s">
        <v>287</v>
      </c>
      <c r="C159" s="11" t="s">
        <v>279</v>
      </c>
      <c r="D159" s="11" t="s">
        <v>288</v>
      </c>
      <c r="E159" s="11" t="s">
        <v>289</v>
      </c>
      <c r="F159" s="11" t="s">
        <v>290</v>
      </c>
      <c r="G159" s="11" t="s">
        <v>291</v>
      </c>
      <c r="H159" s="11" t="s">
        <v>286</v>
      </c>
      <c r="I159" s="11" t="s">
        <v>25</v>
      </c>
      <c r="J159" s="11" t="s">
        <v>292</v>
      </c>
      <c r="K159" s="11" t="s">
        <v>293</v>
      </c>
      <c r="L159" s="11" t="s">
        <v>294</v>
      </c>
      <c r="M159" s="15" t="s">
        <v>279</v>
      </c>
      <c r="N159" s="11"/>
    </row>
    <row r="160" spans="1:14" ht="10.9" customHeight="1">
      <c r="A160" s="11" t="s">
        <v>287</v>
      </c>
      <c r="B160" s="11" t="s">
        <v>295</v>
      </c>
      <c r="C160" s="11" t="s">
        <v>295</v>
      </c>
      <c r="D160" s="11" t="s">
        <v>296</v>
      </c>
      <c r="E160" s="11" t="s">
        <v>25</v>
      </c>
      <c r="F160" s="11" t="s">
        <v>297</v>
      </c>
      <c r="G160" s="11"/>
      <c r="H160" s="11" t="s">
        <v>292</v>
      </c>
      <c r="I160" s="11" t="s">
        <v>288</v>
      </c>
      <c r="J160" s="11" t="s">
        <v>283</v>
      </c>
      <c r="K160" s="11" t="s">
        <v>25</v>
      </c>
      <c r="L160" s="11" t="s">
        <v>298</v>
      </c>
      <c r="M160" s="15" t="s">
        <v>276</v>
      </c>
      <c r="N160" s="11"/>
    </row>
    <row r="161" spans="1:14" ht="10.9" customHeight="1">
      <c r="A161" s="11" t="s">
        <v>299</v>
      </c>
      <c r="B161" s="11" t="s">
        <v>285</v>
      </c>
      <c r="C161" s="11" t="s">
        <v>285</v>
      </c>
      <c r="D161" s="11" t="s">
        <v>25</v>
      </c>
      <c r="E161" s="13" t="s">
        <v>74</v>
      </c>
      <c r="F161" s="11" t="s">
        <v>25</v>
      </c>
      <c r="G161" s="11"/>
      <c r="H161" s="11" t="s">
        <v>283</v>
      </c>
      <c r="I161" s="11" t="s">
        <v>300</v>
      </c>
      <c r="J161" s="11" t="s">
        <v>289</v>
      </c>
      <c r="K161" s="11" t="s">
        <v>301</v>
      </c>
      <c r="L161" s="11" t="s">
        <v>289</v>
      </c>
      <c r="M161" s="15" t="s">
        <v>282</v>
      </c>
      <c r="N161" s="11"/>
    </row>
    <row r="162" spans="1:14" ht="10.9" customHeight="1">
      <c r="A162" s="11" t="s">
        <v>292</v>
      </c>
      <c r="B162" s="11" t="s">
        <v>299</v>
      </c>
      <c r="C162" s="11" t="s">
        <v>290</v>
      </c>
      <c r="D162" s="11" t="s">
        <v>15</v>
      </c>
      <c r="E162" s="13" t="s">
        <v>84</v>
      </c>
      <c r="F162" s="11" t="s">
        <v>302</v>
      </c>
      <c r="G162" s="11"/>
      <c r="H162" s="11" t="s">
        <v>293</v>
      </c>
      <c r="I162" s="11" t="s">
        <v>296</v>
      </c>
      <c r="J162" s="11" t="s">
        <v>25</v>
      </c>
      <c r="K162" s="11" t="s">
        <v>25</v>
      </c>
      <c r="L162" s="11" t="s">
        <v>301</v>
      </c>
      <c r="M162" s="15" t="s">
        <v>287</v>
      </c>
      <c r="N162" s="11"/>
    </row>
    <row r="163" spans="1:14" ht="10.9" customHeight="1">
      <c r="A163" s="11" t="s">
        <v>278</v>
      </c>
      <c r="B163" s="11" t="s">
        <v>303</v>
      </c>
      <c r="C163" s="11" t="s">
        <v>289</v>
      </c>
      <c r="D163" s="2"/>
      <c r="E163" s="13"/>
      <c r="F163" s="11" t="s">
        <v>288</v>
      </c>
      <c r="G163" s="11"/>
      <c r="H163" s="11" t="s">
        <v>303</v>
      </c>
      <c r="I163" s="11" t="s">
        <v>291</v>
      </c>
      <c r="J163" s="15" t="s">
        <v>304</v>
      </c>
      <c r="K163" s="11" t="s">
        <v>305</v>
      </c>
      <c r="L163" s="11" t="s">
        <v>25</v>
      </c>
      <c r="M163" s="15" t="s">
        <v>295</v>
      </c>
      <c r="N163" s="11"/>
    </row>
    <row r="164" spans="1:14" ht="10.9" customHeight="1">
      <c r="A164" s="11" t="s">
        <v>306</v>
      </c>
      <c r="B164" s="11" t="s">
        <v>284</v>
      </c>
      <c r="C164" s="11" t="s">
        <v>25</v>
      </c>
      <c r="D164" s="2"/>
      <c r="E164" s="11"/>
      <c r="F164" s="11" t="s">
        <v>291</v>
      </c>
      <c r="G164" s="11"/>
      <c r="H164" s="11" t="s">
        <v>290</v>
      </c>
      <c r="I164" s="11" t="s">
        <v>25</v>
      </c>
      <c r="J164" s="15" t="s">
        <v>307</v>
      </c>
      <c r="K164" s="13" t="s">
        <v>308</v>
      </c>
      <c r="L164" s="11" t="s">
        <v>300</v>
      </c>
      <c r="M164" s="15" t="s">
        <v>285</v>
      </c>
      <c r="N164" s="13"/>
    </row>
    <row r="165" spans="1:14" ht="10.9" customHeight="1">
      <c r="A165" s="11" t="s">
        <v>25</v>
      </c>
      <c r="B165" s="11" t="s">
        <v>303</v>
      </c>
      <c r="C165" s="11" t="s">
        <v>302</v>
      </c>
      <c r="D165" s="11"/>
      <c r="E165" s="11"/>
      <c r="F165" s="11" t="s">
        <v>25</v>
      </c>
      <c r="G165" s="11"/>
      <c r="H165" s="11" t="s">
        <v>297</v>
      </c>
      <c r="I165" s="13" t="s">
        <v>86</v>
      </c>
      <c r="J165" s="15" t="s">
        <v>309</v>
      </c>
      <c r="K165" s="13" t="s">
        <v>310</v>
      </c>
      <c r="L165" s="11" t="s">
        <v>296</v>
      </c>
      <c r="M165" s="15" t="s">
        <v>299</v>
      </c>
      <c r="N165" s="13"/>
    </row>
    <row r="166" spans="1:14" ht="10.9" customHeight="1">
      <c r="A166" s="11" t="s">
        <v>302</v>
      </c>
      <c r="B166" s="11" t="s">
        <v>290</v>
      </c>
      <c r="C166" s="11" t="s">
        <v>288</v>
      </c>
      <c r="D166" s="11"/>
      <c r="E166" s="11"/>
      <c r="F166" s="11" t="s">
        <v>75</v>
      </c>
      <c r="G166" s="11"/>
      <c r="H166" s="13" t="s">
        <v>277</v>
      </c>
      <c r="I166" s="13"/>
      <c r="J166" s="15" t="s">
        <v>311</v>
      </c>
      <c r="K166" s="13" t="s">
        <v>312</v>
      </c>
      <c r="L166" s="11" t="s">
        <v>291</v>
      </c>
      <c r="M166" s="11" t="s">
        <v>280</v>
      </c>
      <c r="N166" s="13"/>
    </row>
    <row r="167" spans="1:14" ht="10.9" customHeight="1">
      <c r="A167" s="11" t="s">
        <v>288</v>
      </c>
      <c r="B167" s="11" t="s">
        <v>297</v>
      </c>
      <c r="C167" s="11" t="s">
        <v>300</v>
      </c>
      <c r="D167" s="11"/>
      <c r="E167" s="11"/>
      <c r="F167" s="13" t="s">
        <v>18</v>
      </c>
      <c r="G167" s="11"/>
      <c r="H167" s="13" t="s">
        <v>25</v>
      </c>
      <c r="I167" s="13"/>
      <c r="J167" s="15" t="s">
        <v>341</v>
      </c>
      <c r="K167" s="13" t="s">
        <v>313</v>
      </c>
      <c r="L167" s="11" t="s">
        <v>25</v>
      </c>
      <c r="M167" s="11" t="s">
        <v>286</v>
      </c>
      <c r="N167" s="13"/>
    </row>
    <row r="168" spans="1:14" ht="10.9" customHeight="1">
      <c r="A168" s="11" t="s">
        <v>300</v>
      </c>
      <c r="B168" s="11" t="s">
        <v>25</v>
      </c>
      <c r="C168" s="11" t="s">
        <v>25</v>
      </c>
      <c r="D168" s="11"/>
      <c r="E168" s="13"/>
      <c r="F168" s="13" t="s">
        <v>85</v>
      </c>
      <c r="G168" s="11"/>
      <c r="H168" s="13" t="s">
        <v>302</v>
      </c>
      <c r="I168" s="13"/>
      <c r="J168" s="15" t="s">
        <v>314</v>
      </c>
      <c r="K168" s="13" t="s">
        <v>315</v>
      </c>
      <c r="L168" s="11" t="s">
        <v>79</v>
      </c>
      <c r="M168" s="11" t="s">
        <v>292</v>
      </c>
      <c r="N168" s="13"/>
    </row>
    <row r="169" spans="1:14" ht="10.9" customHeight="1">
      <c r="A169" s="11" t="s">
        <v>296</v>
      </c>
      <c r="B169" s="11" t="s">
        <v>302</v>
      </c>
      <c r="C169" s="11" t="s">
        <v>75</v>
      </c>
      <c r="D169" s="11"/>
      <c r="E169" s="13"/>
      <c r="F169" s="13"/>
      <c r="G169" s="11"/>
      <c r="H169" s="13" t="s">
        <v>288</v>
      </c>
      <c r="I169" s="13"/>
      <c r="J169" s="15" t="s">
        <v>316</v>
      </c>
      <c r="K169" s="13" t="s">
        <v>317</v>
      </c>
      <c r="L169" s="11" t="s">
        <v>89</v>
      </c>
      <c r="M169" s="11" t="s">
        <v>278</v>
      </c>
      <c r="N169" s="13"/>
    </row>
    <row r="170" spans="1:14" ht="10.9" customHeight="1">
      <c r="A170" s="11" t="s">
        <v>291</v>
      </c>
      <c r="B170" s="11" t="s">
        <v>288</v>
      </c>
      <c r="C170" s="11" t="s">
        <v>72</v>
      </c>
      <c r="D170" s="11"/>
      <c r="E170" s="13"/>
      <c r="F170" s="13"/>
      <c r="G170" s="11"/>
      <c r="H170" s="13" t="s">
        <v>300</v>
      </c>
      <c r="I170" s="13"/>
      <c r="J170" s="15" t="s">
        <v>330</v>
      </c>
      <c r="K170" s="13" t="s">
        <v>319</v>
      </c>
      <c r="L170" s="11"/>
      <c r="M170" s="11" t="s">
        <v>283</v>
      </c>
      <c r="N170" s="13"/>
    </row>
    <row r="171" spans="1:14" ht="10.9" customHeight="1">
      <c r="A171" s="11" t="s">
        <v>25</v>
      </c>
      <c r="B171" s="11" t="s">
        <v>296</v>
      </c>
      <c r="C171" s="11" t="s">
        <v>79</v>
      </c>
      <c r="D171" s="11"/>
      <c r="E171" s="13"/>
      <c r="F171" s="13"/>
      <c r="G171" s="11"/>
      <c r="H171" s="13" t="s">
        <v>291</v>
      </c>
      <c r="I171" s="16"/>
      <c r="J171" s="15" t="s">
        <v>318</v>
      </c>
      <c r="K171" s="13" t="s">
        <v>25</v>
      </c>
      <c r="L171" s="11"/>
      <c r="M171" s="11" t="s">
        <v>293</v>
      </c>
      <c r="N171" s="13"/>
    </row>
    <row r="172" spans="1:14" ht="10.9" customHeight="1">
      <c r="A172" s="11" t="s">
        <v>15</v>
      </c>
      <c r="B172" s="11" t="s">
        <v>291</v>
      </c>
      <c r="C172" s="2"/>
      <c r="D172" s="11"/>
      <c r="E172" s="13"/>
      <c r="F172" s="13"/>
      <c r="G172" s="11"/>
      <c r="H172" s="13" t="s">
        <v>296</v>
      </c>
      <c r="I172" s="16"/>
      <c r="J172" s="15" t="s">
        <v>320</v>
      </c>
      <c r="K172" s="11" t="s">
        <v>78</v>
      </c>
      <c r="L172" s="11"/>
      <c r="M172" s="11" t="s">
        <v>303</v>
      </c>
      <c r="N172" s="13"/>
    </row>
    <row r="173" spans="1:14" ht="10.9" customHeight="1">
      <c r="A173" s="13" t="s">
        <v>16</v>
      </c>
      <c r="B173" s="11" t="s">
        <v>25</v>
      </c>
      <c r="C173" s="11"/>
      <c r="D173" s="11"/>
      <c r="E173" s="13"/>
      <c r="F173" s="13"/>
      <c r="G173" s="11"/>
      <c r="H173" s="13" t="s">
        <v>25</v>
      </c>
      <c r="I173" s="16"/>
      <c r="J173" s="15" t="s">
        <v>321</v>
      </c>
      <c r="K173" s="13" t="s">
        <v>88</v>
      </c>
      <c r="L173" s="11"/>
      <c r="M173" s="11" t="s">
        <v>294</v>
      </c>
      <c r="N173" s="13"/>
    </row>
    <row r="174" spans="1:14" ht="10.9" customHeight="1">
      <c r="A174" s="13" t="s">
        <v>18</v>
      </c>
      <c r="B174" s="11" t="s">
        <v>277</v>
      </c>
      <c r="C174" s="11"/>
      <c r="D174" s="11"/>
      <c r="E174" s="13"/>
      <c r="F174" s="13"/>
      <c r="G174" s="11"/>
      <c r="H174" s="13" t="s">
        <v>323</v>
      </c>
      <c r="I174" s="16"/>
      <c r="J174" s="15" t="s">
        <v>322</v>
      </c>
      <c r="K174" s="13"/>
      <c r="L174" s="11"/>
      <c r="M174" s="11" t="s">
        <v>298</v>
      </c>
      <c r="N174" s="13"/>
    </row>
    <row r="175" spans="1:14" ht="10.9" customHeight="1">
      <c r="A175" s="13" t="s">
        <v>19</v>
      </c>
      <c r="B175" s="11" t="s">
        <v>25</v>
      </c>
      <c r="C175" s="11"/>
      <c r="D175" s="11"/>
      <c r="E175" s="13"/>
      <c r="F175" s="13"/>
      <c r="G175" s="11"/>
      <c r="H175" s="13" t="s">
        <v>715</v>
      </c>
      <c r="I175" s="16"/>
      <c r="J175" s="15" t="s">
        <v>331</v>
      </c>
      <c r="K175" s="13"/>
      <c r="L175" s="11"/>
      <c r="M175" s="11" t="s">
        <v>284</v>
      </c>
      <c r="N175" s="13"/>
    </row>
    <row r="176" spans="1:14" ht="10.9" customHeight="1">
      <c r="A176" s="13" t="s">
        <v>21</v>
      </c>
      <c r="B176" s="11" t="s">
        <v>72</v>
      </c>
      <c r="C176" s="11"/>
      <c r="D176" s="11"/>
      <c r="E176" s="13"/>
      <c r="F176" s="13"/>
      <c r="G176" s="11"/>
      <c r="H176" s="13" t="s">
        <v>25</v>
      </c>
      <c r="I176" s="16"/>
      <c r="J176" s="15" t="s">
        <v>324</v>
      </c>
      <c r="K176" s="11"/>
      <c r="L176" s="13"/>
      <c r="M176" s="11" t="s">
        <v>306</v>
      </c>
      <c r="N176" s="13"/>
    </row>
    <row r="177" spans="1:14" ht="10.9" customHeight="1">
      <c r="A177" s="13"/>
      <c r="B177" s="11" t="s">
        <v>78</v>
      </c>
      <c r="C177" s="11"/>
      <c r="D177" s="11"/>
      <c r="E177" s="13"/>
      <c r="F177" s="13"/>
      <c r="G177" s="11"/>
      <c r="H177" s="13" t="s">
        <v>305</v>
      </c>
      <c r="I177" s="16"/>
      <c r="J177" s="15" t="s">
        <v>325</v>
      </c>
      <c r="K177" s="13"/>
      <c r="L177" s="13"/>
      <c r="M177" s="11" t="s">
        <v>290</v>
      </c>
      <c r="N177" s="13"/>
    </row>
    <row r="178" spans="1:14" ht="10.9" customHeight="1">
      <c r="A178" s="13"/>
      <c r="B178" s="13" t="s">
        <v>85</v>
      </c>
      <c r="C178" s="11"/>
      <c r="D178" s="11"/>
      <c r="E178" s="13"/>
      <c r="F178" s="13"/>
      <c r="G178" s="11"/>
      <c r="H178" s="13" t="s">
        <v>310</v>
      </c>
      <c r="I178" s="16"/>
      <c r="J178" s="15" t="s">
        <v>326</v>
      </c>
      <c r="K178" s="13"/>
      <c r="L178" s="13"/>
      <c r="M178" s="11" t="s">
        <v>297</v>
      </c>
      <c r="N178" s="13"/>
    </row>
    <row r="179" spans="1:14" ht="10.9" customHeight="1">
      <c r="A179" s="13"/>
      <c r="B179" s="13" t="s">
        <v>90</v>
      </c>
      <c r="C179" s="11"/>
      <c r="D179" s="11"/>
      <c r="E179" s="13"/>
      <c r="F179" s="13"/>
      <c r="G179" s="11"/>
      <c r="H179" s="13" t="s">
        <v>313</v>
      </c>
      <c r="I179" s="16"/>
      <c r="J179" s="15" t="s">
        <v>327</v>
      </c>
      <c r="K179" s="13"/>
      <c r="L179" s="13"/>
      <c r="M179" s="11" t="s">
        <v>289</v>
      </c>
      <c r="N179" s="13"/>
    </row>
    <row r="180" spans="1:14" ht="10.9" customHeight="1">
      <c r="A180" s="13"/>
      <c r="B180" s="11"/>
      <c r="C180" s="11"/>
      <c r="D180" s="11"/>
      <c r="E180" s="13"/>
      <c r="F180" s="13"/>
      <c r="G180" s="11"/>
      <c r="H180" s="15" t="s">
        <v>315</v>
      </c>
      <c r="I180" s="16"/>
      <c r="J180" s="15" t="s">
        <v>328</v>
      </c>
      <c r="K180" s="13"/>
      <c r="L180" s="13"/>
      <c r="M180" s="11" t="s">
        <v>301</v>
      </c>
      <c r="N180" s="13"/>
    </row>
    <row r="181" spans="1:14" ht="10.9" customHeight="1">
      <c r="A181" s="13"/>
      <c r="B181" s="11"/>
      <c r="C181" s="11"/>
      <c r="D181" s="11"/>
      <c r="E181" s="13"/>
      <c r="F181" s="13"/>
      <c r="G181" s="11"/>
      <c r="H181" s="13" t="s">
        <v>317</v>
      </c>
      <c r="I181" s="16"/>
      <c r="J181" s="15" t="s">
        <v>329</v>
      </c>
      <c r="K181" s="13"/>
      <c r="L181" s="13"/>
      <c r="M181" s="11" t="s">
        <v>277</v>
      </c>
      <c r="N181" s="13"/>
    </row>
    <row r="182" spans="1:14" ht="10.9" customHeight="1">
      <c r="A182" s="13"/>
      <c r="B182" s="13"/>
      <c r="C182" s="11"/>
      <c r="D182" s="13"/>
      <c r="E182" s="13"/>
      <c r="F182" s="13"/>
      <c r="G182" s="11"/>
      <c r="H182" s="13" t="s">
        <v>25</v>
      </c>
      <c r="I182" s="16"/>
      <c r="J182" s="11" t="s">
        <v>25</v>
      </c>
      <c r="K182" s="13"/>
      <c r="L182" s="13"/>
      <c r="M182" s="11" t="s">
        <v>25</v>
      </c>
      <c r="N182" s="13"/>
    </row>
    <row r="183" spans="1:14" ht="10.9" customHeight="1">
      <c r="A183" s="13"/>
      <c r="B183" s="13"/>
      <c r="C183" s="11"/>
      <c r="D183" s="13"/>
      <c r="E183" s="13"/>
      <c r="F183" s="13"/>
      <c r="G183" s="11"/>
      <c r="H183" s="15" t="s">
        <v>304</v>
      </c>
      <c r="I183" s="16"/>
      <c r="J183" s="11" t="s">
        <v>16</v>
      </c>
      <c r="K183" s="13"/>
      <c r="L183" s="13"/>
      <c r="M183" s="15" t="s">
        <v>302</v>
      </c>
      <c r="N183" s="13"/>
    </row>
    <row r="184" spans="1:14" ht="10.9" customHeight="1">
      <c r="A184" s="13"/>
      <c r="B184" s="13"/>
      <c r="C184" s="11"/>
      <c r="D184" s="13"/>
      <c r="E184" s="13"/>
      <c r="F184" s="13"/>
      <c r="G184" s="11"/>
      <c r="H184" s="15" t="s">
        <v>311</v>
      </c>
      <c r="I184" s="16"/>
      <c r="J184" s="11" t="s">
        <v>84</v>
      </c>
      <c r="K184" s="13"/>
      <c r="L184" s="13"/>
      <c r="M184" s="15" t="s">
        <v>288</v>
      </c>
      <c r="N184" s="13"/>
    </row>
    <row r="185" spans="1:14" ht="10.9" customHeight="1">
      <c r="A185" s="13"/>
      <c r="B185" s="13"/>
      <c r="C185" s="11"/>
      <c r="D185" s="13"/>
      <c r="E185" s="13"/>
      <c r="F185" s="13"/>
      <c r="G185" s="11"/>
      <c r="H185" s="15" t="s">
        <v>314</v>
      </c>
      <c r="I185" s="16"/>
      <c r="J185" s="15"/>
      <c r="K185" s="13"/>
      <c r="L185" s="13"/>
      <c r="M185" s="15" t="s">
        <v>300</v>
      </c>
      <c r="N185" s="13"/>
    </row>
    <row r="186" spans="1:14" ht="10.9" customHeight="1">
      <c r="A186" s="13"/>
      <c r="B186" s="13"/>
      <c r="C186" s="11"/>
      <c r="D186" s="13"/>
      <c r="E186" s="13"/>
      <c r="F186" s="16"/>
      <c r="G186" s="16"/>
      <c r="H186" s="15" t="s">
        <v>316</v>
      </c>
      <c r="I186" s="16"/>
      <c r="J186" s="11"/>
      <c r="K186" s="13"/>
      <c r="L186" s="13"/>
      <c r="M186" s="15" t="s">
        <v>291</v>
      </c>
      <c r="N186" s="13"/>
    </row>
    <row r="187" spans="1:14" ht="10.9" customHeight="1">
      <c r="A187" s="13"/>
      <c r="B187" s="13"/>
      <c r="C187" s="11"/>
      <c r="D187" s="13"/>
      <c r="E187" s="13"/>
      <c r="F187" s="16"/>
      <c r="G187" s="16"/>
      <c r="H187" s="15" t="s">
        <v>330</v>
      </c>
      <c r="I187" s="16"/>
      <c r="J187" s="11"/>
      <c r="K187" s="13"/>
      <c r="L187" s="13"/>
      <c r="M187" s="11" t="s">
        <v>301</v>
      </c>
      <c r="N187" s="13"/>
    </row>
    <row r="188" spans="1:14" ht="10.9" customHeight="1">
      <c r="A188" s="13"/>
      <c r="B188" s="13"/>
      <c r="C188" s="11"/>
      <c r="D188" s="13"/>
      <c r="E188" s="13"/>
      <c r="F188" s="16"/>
      <c r="G188" s="16"/>
      <c r="H188" s="15" t="s">
        <v>318</v>
      </c>
      <c r="I188" s="16"/>
      <c r="J188" s="11"/>
      <c r="K188" s="13"/>
      <c r="L188" s="13"/>
      <c r="M188" s="11" t="s">
        <v>25</v>
      </c>
      <c r="N188" s="13"/>
    </row>
    <row r="189" spans="1:14" ht="10.9" customHeight="1">
      <c r="A189" s="13"/>
      <c r="B189" s="13"/>
      <c r="C189" s="13"/>
      <c r="D189" s="13"/>
      <c r="E189" s="13"/>
      <c r="F189" s="16"/>
      <c r="G189" s="16"/>
      <c r="H189" s="15" t="s">
        <v>321</v>
      </c>
      <c r="I189" s="16"/>
      <c r="J189" s="17"/>
      <c r="K189" s="13"/>
      <c r="L189" s="13"/>
      <c r="M189" s="11" t="s">
        <v>305</v>
      </c>
      <c r="N189" s="13"/>
    </row>
    <row r="190" spans="1:14" ht="10.9" customHeight="1">
      <c r="A190" s="13"/>
      <c r="B190" s="13"/>
      <c r="C190" s="13"/>
      <c r="D190" s="13"/>
      <c r="E190" s="13"/>
      <c r="F190" s="16"/>
      <c r="G190" s="16"/>
      <c r="H190" s="15" t="s">
        <v>322</v>
      </c>
      <c r="I190" s="16"/>
      <c r="J190" s="18"/>
      <c r="K190" s="13"/>
      <c r="L190" s="13"/>
      <c r="M190" s="13" t="s">
        <v>308</v>
      </c>
      <c r="N190" s="13"/>
    </row>
    <row r="191" spans="1:14" ht="10.9" customHeight="1">
      <c r="A191" s="13"/>
      <c r="B191" s="13"/>
      <c r="C191" s="13"/>
      <c r="D191" s="13"/>
      <c r="E191" s="13"/>
      <c r="F191" s="16"/>
      <c r="G191" s="16"/>
      <c r="H191" s="15" t="s">
        <v>331</v>
      </c>
      <c r="I191" s="16"/>
      <c r="J191" s="18"/>
      <c r="K191" s="13"/>
      <c r="L191" s="13"/>
      <c r="M191" s="13" t="s">
        <v>310</v>
      </c>
      <c r="N191" s="13"/>
    </row>
    <row r="192" spans="1:14" ht="10.9" customHeight="1">
      <c r="A192" s="13"/>
      <c r="B192" s="13"/>
      <c r="C192" s="13"/>
      <c r="D192" s="13"/>
      <c r="E192" s="13"/>
      <c r="F192" s="16"/>
      <c r="G192" s="16"/>
      <c r="H192" s="15" t="s">
        <v>328</v>
      </c>
      <c r="I192" s="16"/>
      <c r="J192" s="18"/>
      <c r="K192" s="13"/>
      <c r="L192" s="13"/>
      <c r="M192" s="13" t="s">
        <v>312</v>
      </c>
      <c r="N192" s="13"/>
    </row>
    <row r="193" spans="1:14" ht="10.9" customHeight="1">
      <c r="A193" s="13"/>
      <c r="B193" s="13"/>
      <c r="C193" s="13"/>
      <c r="D193" s="13"/>
      <c r="E193" s="13"/>
      <c r="F193" s="16"/>
      <c r="G193" s="16"/>
      <c r="H193" s="15" t="s">
        <v>25</v>
      </c>
      <c r="I193" s="16"/>
      <c r="J193" s="16"/>
      <c r="K193" s="13"/>
      <c r="L193" s="13"/>
      <c r="M193" s="13" t="s">
        <v>313</v>
      </c>
      <c r="N193" s="13"/>
    </row>
    <row r="194" spans="1:14" ht="10.9" customHeight="1">
      <c r="A194" s="13"/>
      <c r="B194" s="13"/>
      <c r="C194" s="13"/>
      <c r="D194" s="13"/>
      <c r="E194" s="13"/>
      <c r="F194" s="16"/>
      <c r="G194" s="16"/>
      <c r="H194" s="15" t="s">
        <v>332</v>
      </c>
      <c r="I194" s="16"/>
      <c r="J194" s="13"/>
      <c r="K194" s="13"/>
      <c r="L194" s="13"/>
      <c r="M194" s="13" t="s">
        <v>315</v>
      </c>
      <c r="N194" s="13"/>
    </row>
    <row r="195" spans="1:14" ht="10.9" customHeight="1">
      <c r="A195" s="13"/>
      <c r="B195" s="13"/>
      <c r="C195" s="13"/>
      <c r="D195" s="13"/>
      <c r="E195" s="13"/>
      <c r="F195" s="16"/>
      <c r="G195" s="16"/>
      <c r="H195" s="15" t="s">
        <v>333</v>
      </c>
      <c r="I195" s="16"/>
      <c r="J195" s="13"/>
      <c r="K195" s="13"/>
      <c r="L195" s="13"/>
      <c r="M195" s="13" t="s">
        <v>317</v>
      </c>
      <c r="N195" s="13"/>
    </row>
    <row r="196" spans="1:14" ht="10.9" customHeight="1">
      <c r="A196" s="13"/>
      <c r="B196" s="13"/>
      <c r="C196" s="13"/>
      <c r="D196" s="13"/>
      <c r="E196" s="13"/>
      <c r="F196" s="16"/>
      <c r="G196" s="16"/>
      <c r="H196" s="15" t="s">
        <v>334</v>
      </c>
      <c r="I196" s="16"/>
      <c r="J196" s="13"/>
      <c r="K196" s="13"/>
      <c r="L196" s="13"/>
      <c r="M196" s="13" t="s">
        <v>319</v>
      </c>
      <c r="N196" s="13"/>
    </row>
    <row r="197" spans="1:14" ht="10.9" customHeight="1">
      <c r="A197" s="13"/>
      <c r="B197" s="13"/>
      <c r="C197" s="13"/>
      <c r="D197" s="13"/>
      <c r="E197" s="13"/>
      <c r="F197" s="16"/>
      <c r="G197" s="16"/>
      <c r="H197" s="15" t="s">
        <v>335</v>
      </c>
      <c r="I197" s="16"/>
      <c r="J197" s="13"/>
      <c r="K197" s="13"/>
      <c r="L197" s="13"/>
      <c r="M197" s="11" t="s">
        <v>25</v>
      </c>
      <c r="N197" s="13"/>
    </row>
    <row r="198" spans="1:14" ht="10.9" customHeight="1">
      <c r="A198" s="13"/>
      <c r="B198" s="13"/>
      <c r="C198" s="13"/>
      <c r="D198" s="13"/>
      <c r="E198" s="13"/>
      <c r="F198" s="16"/>
      <c r="G198" s="16"/>
      <c r="H198" s="15" t="s">
        <v>336</v>
      </c>
      <c r="I198" s="16"/>
      <c r="J198" s="13"/>
      <c r="K198" s="13"/>
      <c r="L198" s="13"/>
      <c r="M198" s="15" t="s">
        <v>304</v>
      </c>
      <c r="N198" s="13"/>
    </row>
    <row r="199" spans="1:14" ht="10.9" customHeight="1">
      <c r="A199" s="13"/>
      <c r="B199" s="13"/>
      <c r="C199" s="13"/>
      <c r="D199" s="13"/>
      <c r="E199" s="13"/>
      <c r="F199" s="16"/>
      <c r="G199" s="16"/>
      <c r="H199" s="15" t="s">
        <v>337</v>
      </c>
      <c r="I199" s="16"/>
      <c r="J199" s="13"/>
      <c r="K199" s="13"/>
      <c r="L199" s="13"/>
      <c r="M199" s="15" t="s">
        <v>307</v>
      </c>
      <c r="N199" s="13"/>
    </row>
    <row r="200" spans="1:14" ht="10.9" customHeight="1">
      <c r="A200" s="13"/>
      <c r="B200" s="13"/>
      <c r="C200" s="13"/>
      <c r="D200" s="13"/>
      <c r="E200" s="13"/>
      <c r="F200" s="16"/>
      <c r="G200" s="16"/>
      <c r="H200" s="15" t="s">
        <v>338</v>
      </c>
      <c r="I200" s="16"/>
      <c r="J200" s="13"/>
      <c r="K200" s="13"/>
      <c r="L200" s="13"/>
      <c r="M200" s="15" t="s">
        <v>309</v>
      </c>
      <c r="N200" s="13"/>
    </row>
    <row r="201" spans="1:14" ht="10.9" customHeight="1">
      <c r="A201" s="13"/>
      <c r="B201" s="13"/>
      <c r="C201" s="13"/>
      <c r="D201" s="13"/>
      <c r="E201" s="13"/>
      <c r="F201" s="16"/>
      <c r="G201" s="16"/>
      <c r="H201" s="15" t="s">
        <v>339</v>
      </c>
      <c r="I201" s="16"/>
      <c r="J201" s="13"/>
      <c r="K201" s="13"/>
      <c r="L201" s="13"/>
      <c r="M201" s="15" t="s">
        <v>311</v>
      </c>
      <c r="N201" s="13"/>
    </row>
    <row r="202" spans="1:14" ht="10.9" customHeight="1">
      <c r="A202" s="13"/>
      <c r="B202" s="13"/>
      <c r="C202" s="13"/>
      <c r="D202" s="13"/>
      <c r="E202" s="13"/>
      <c r="F202" s="16"/>
      <c r="G202" s="16"/>
      <c r="H202" s="15" t="s">
        <v>1270</v>
      </c>
      <c r="I202" s="16"/>
      <c r="J202" s="13"/>
      <c r="K202" s="13"/>
      <c r="L202" s="13"/>
      <c r="M202" s="15" t="s">
        <v>341</v>
      </c>
      <c r="N202" s="13"/>
    </row>
    <row r="203" spans="1:14" ht="10.9" customHeight="1">
      <c r="A203" s="13"/>
      <c r="B203" s="13"/>
      <c r="C203" s="13"/>
      <c r="D203" s="13"/>
      <c r="E203" s="13"/>
      <c r="F203" s="16"/>
      <c r="G203" s="16"/>
      <c r="H203" s="15" t="s">
        <v>340</v>
      </c>
      <c r="I203" s="16"/>
      <c r="J203" s="13"/>
      <c r="K203" s="13"/>
      <c r="L203" s="13"/>
      <c r="M203" s="15" t="s">
        <v>314</v>
      </c>
      <c r="N203" s="13"/>
    </row>
    <row r="204" spans="1:14" ht="10.9" customHeight="1">
      <c r="A204" s="13"/>
      <c r="B204" s="13"/>
      <c r="C204" s="13"/>
      <c r="D204" s="13"/>
      <c r="E204" s="13"/>
      <c r="F204" s="16"/>
      <c r="G204" s="16"/>
      <c r="H204" s="15" t="s">
        <v>342</v>
      </c>
      <c r="I204" s="13"/>
      <c r="J204" s="13"/>
      <c r="K204" s="13"/>
      <c r="L204" s="13"/>
      <c r="M204" s="15" t="s">
        <v>316</v>
      </c>
      <c r="N204" s="13"/>
    </row>
    <row r="205" spans="1:14" ht="10.9" customHeight="1">
      <c r="A205" s="13"/>
      <c r="B205" s="13"/>
      <c r="C205" s="13"/>
      <c r="D205" s="13"/>
      <c r="E205" s="13"/>
      <c r="F205" s="16"/>
      <c r="G205" s="16"/>
      <c r="H205" s="15" t="s">
        <v>343</v>
      </c>
      <c r="I205" s="13"/>
      <c r="J205" s="13"/>
      <c r="K205" s="13"/>
      <c r="L205" s="13"/>
      <c r="M205" s="15" t="s">
        <v>330</v>
      </c>
      <c r="N205" s="13"/>
    </row>
    <row r="206" spans="1:14" ht="10.9" customHeight="1">
      <c r="A206" s="13"/>
      <c r="B206" s="13"/>
      <c r="C206" s="13"/>
      <c r="D206" s="13"/>
      <c r="E206" s="13"/>
      <c r="F206" s="16"/>
      <c r="G206" s="16"/>
      <c r="H206" s="15" t="s">
        <v>344</v>
      </c>
      <c r="I206" s="13"/>
      <c r="J206" s="13"/>
      <c r="K206" s="13"/>
      <c r="L206" s="13"/>
      <c r="M206" s="15" t="s">
        <v>318</v>
      </c>
      <c r="N206" s="13"/>
    </row>
    <row r="207" spans="1:14" ht="10.9" customHeight="1">
      <c r="A207" s="13"/>
      <c r="B207" s="13"/>
      <c r="C207" s="13"/>
      <c r="D207" s="13"/>
      <c r="E207" s="13"/>
      <c r="F207" s="16"/>
      <c r="G207" s="16"/>
      <c r="H207" s="15" t="s">
        <v>345</v>
      </c>
      <c r="I207" s="13"/>
      <c r="J207" s="13"/>
      <c r="K207" s="13"/>
      <c r="L207" s="13"/>
      <c r="M207" s="15" t="s">
        <v>320</v>
      </c>
      <c r="N207" s="13"/>
    </row>
    <row r="208" spans="1:14" ht="10.9" customHeight="1">
      <c r="A208" s="13"/>
      <c r="B208" s="13"/>
      <c r="C208" s="13"/>
      <c r="D208" s="13"/>
      <c r="E208" s="13"/>
      <c r="F208" s="16"/>
      <c r="G208" s="16"/>
      <c r="H208" s="15" t="s">
        <v>346</v>
      </c>
      <c r="I208" s="13"/>
      <c r="J208" s="13"/>
      <c r="K208" s="13"/>
      <c r="L208" s="13"/>
      <c r="M208" s="15" t="s">
        <v>321</v>
      </c>
      <c r="N208" s="13"/>
    </row>
    <row r="209" spans="1:14" ht="10.9" customHeight="1">
      <c r="A209" s="13"/>
      <c r="B209" s="13"/>
      <c r="C209" s="13"/>
      <c r="D209" s="13"/>
      <c r="E209" s="13"/>
      <c r="F209" s="16"/>
      <c r="G209" s="16"/>
      <c r="H209" s="15" t="s">
        <v>347</v>
      </c>
      <c r="I209" s="13"/>
      <c r="J209" s="13"/>
      <c r="K209" s="13"/>
      <c r="L209" s="13"/>
      <c r="M209" s="15" t="s">
        <v>322</v>
      </c>
      <c r="N209" s="13"/>
    </row>
    <row r="210" spans="1:14" ht="10.9" customHeight="1">
      <c r="A210" s="13"/>
      <c r="B210" s="13"/>
      <c r="C210" s="13"/>
      <c r="D210" s="13"/>
      <c r="E210" s="13"/>
      <c r="F210" s="16"/>
      <c r="G210" s="16"/>
      <c r="H210" s="15" t="s">
        <v>348</v>
      </c>
      <c r="I210" s="13"/>
      <c r="J210" s="13"/>
      <c r="K210" s="13"/>
      <c r="L210" s="13"/>
      <c r="M210" s="15" t="s">
        <v>331</v>
      </c>
      <c r="N210" s="13"/>
    </row>
    <row r="211" spans="1:14" ht="10.9" customHeight="1">
      <c r="A211" s="13"/>
      <c r="B211" s="13"/>
      <c r="C211" s="13"/>
      <c r="D211" s="13"/>
      <c r="E211" s="13"/>
      <c r="F211" s="16"/>
      <c r="G211" s="16"/>
      <c r="H211" s="15" t="s">
        <v>349</v>
      </c>
      <c r="I211" s="13"/>
      <c r="J211" s="13"/>
      <c r="K211" s="13"/>
      <c r="L211" s="13"/>
      <c r="M211" s="15" t="s">
        <v>324</v>
      </c>
      <c r="N211" s="13"/>
    </row>
    <row r="212" spans="1:14" ht="10.9" customHeight="1">
      <c r="A212" s="13"/>
      <c r="B212" s="13"/>
      <c r="C212" s="13"/>
      <c r="D212" s="13"/>
      <c r="E212" s="13"/>
      <c r="F212" s="16"/>
      <c r="G212" s="16"/>
      <c r="H212" s="15" t="s">
        <v>350</v>
      </c>
      <c r="I212" s="13"/>
      <c r="J212" s="13"/>
      <c r="K212" s="13"/>
      <c r="L212" s="13"/>
      <c r="M212" s="15" t="s">
        <v>325</v>
      </c>
      <c r="N212" s="13"/>
    </row>
    <row r="213" spans="1:14" ht="10.9" customHeight="1">
      <c r="A213" s="13"/>
      <c r="B213" s="13"/>
      <c r="C213" s="13"/>
      <c r="D213" s="13"/>
      <c r="E213" s="13"/>
      <c r="F213" s="16"/>
      <c r="G213" s="16"/>
      <c r="H213" s="15" t="s">
        <v>351</v>
      </c>
      <c r="I213" s="13"/>
      <c r="J213" s="13"/>
      <c r="K213" s="13"/>
      <c r="L213" s="13"/>
      <c r="M213" s="15" t="s">
        <v>326</v>
      </c>
      <c r="N213" s="13"/>
    </row>
    <row r="214" spans="1:14" ht="10.9" customHeight="1">
      <c r="A214" s="13"/>
      <c r="B214" s="13"/>
      <c r="C214" s="13"/>
      <c r="D214" s="13"/>
      <c r="E214" s="13"/>
      <c r="F214" s="16"/>
      <c r="G214" s="16"/>
      <c r="H214" s="15" t="s">
        <v>352</v>
      </c>
      <c r="I214" s="13"/>
      <c r="J214" s="13"/>
      <c r="K214" s="13"/>
      <c r="L214" s="13"/>
      <c r="M214" s="15" t="s">
        <v>327</v>
      </c>
      <c r="N214" s="13"/>
    </row>
    <row r="215" spans="1:14" ht="10.9" customHeight="1">
      <c r="A215" s="13"/>
      <c r="B215" s="13"/>
      <c r="C215" s="13"/>
      <c r="D215" s="13"/>
      <c r="E215" s="13"/>
      <c r="F215" s="16"/>
      <c r="G215" s="16"/>
      <c r="H215" s="15" t="s">
        <v>320</v>
      </c>
      <c r="I215" s="13"/>
      <c r="J215" s="13"/>
      <c r="K215" s="13"/>
      <c r="L215" s="13"/>
      <c r="M215" s="15" t="s">
        <v>328</v>
      </c>
      <c r="N215" s="13"/>
    </row>
    <row r="216" spans="1:14" ht="10.9" customHeight="1">
      <c r="A216" s="13"/>
      <c r="B216" s="13"/>
      <c r="C216" s="13"/>
      <c r="D216" s="13"/>
      <c r="E216" s="13"/>
      <c r="F216" s="16"/>
      <c r="G216" s="16"/>
      <c r="H216" s="15" t="s">
        <v>353</v>
      </c>
      <c r="I216" s="13"/>
      <c r="J216" s="13"/>
      <c r="K216" s="13"/>
      <c r="L216" s="13"/>
      <c r="M216" s="15" t="s">
        <v>329</v>
      </c>
      <c r="N216" s="13"/>
    </row>
    <row r="217" spans="1:14" ht="10.9" customHeight="1">
      <c r="A217" s="13"/>
      <c r="B217" s="13"/>
      <c r="C217" s="13"/>
      <c r="D217" s="13"/>
      <c r="E217" s="13"/>
      <c r="F217" s="16"/>
      <c r="G217" s="16"/>
      <c r="H217" s="15" t="s">
        <v>354</v>
      </c>
      <c r="I217" s="13"/>
      <c r="J217" s="13"/>
      <c r="K217" s="13"/>
      <c r="L217" s="13"/>
      <c r="M217" s="15" t="s">
        <v>25</v>
      </c>
      <c r="N217" s="13"/>
    </row>
    <row r="218" spans="1:14" ht="10.9" customHeight="1">
      <c r="A218" s="13"/>
      <c r="B218" s="13"/>
      <c r="C218" s="13"/>
      <c r="D218" s="13"/>
      <c r="E218" s="13"/>
      <c r="F218" s="16"/>
      <c r="G218" s="16"/>
      <c r="H218" s="15" t="s">
        <v>355</v>
      </c>
      <c r="I218" s="13"/>
      <c r="J218" s="13"/>
      <c r="K218" s="13"/>
      <c r="L218" s="13"/>
      <c r="M218" s="15" t="s">
        <v>332</v>
      </c>
      <c r="N218" s="13"/>
    </row>
    <row r="219" spans="1:14" ht="10.9" customHeight="1">
      <c r="A219" s="13"/>
      <c r="B219" s="13"/>
      <c r="C219" s="13"/>
      <c r="D219" s="13"/>
      <c r="E219" s="13"/>
      <c r="F219" s="13"/>
      <c r="G219" s="13"/>
      <c r="H219" s="15" t="s">
        <v>356</v>
      </c>
      <c r="I219" s="13"/>
      <c r="J219" s="13"/>
      <c r="K219" s="13"/>
      <c r="L219" s="13"/>
      <c r="M219" s="15" t="s">
        <v>333</v>
      </c>
      <c r="N219" s="13"/>
    </row>
    <row r="220" spans="1:14" ht="10.9" customHeight="1">
      <c r="A220" s="13"/>
      <c r="B220" s="13"/>
      <c r="C220" s="13"/>
      <c r="D220" s="13"/>
      <c r="E220" s="13"/>
      <c r="F220" s="13"/>
      <c r="G220" s="13"/>
      <c r="H220" s="15" t="s">
        <v>357</v>
      </c>
      <c r="I220" s="13"/>
      <c r="J220" s="13"/>
      <c r="K220" s="13"/>
      <c r="L220" s="13"/>
      <c r="M220" s="15" t="s">
        <v>334</v>
      </c>
      <c r="N220" s="13"/>
    </row>
    <row r="221" spans="1:14" ht="10.9" customHeight="1">
      <c r="A221" s="13"/>
      <c r="B221" s="13"/>
      <c r="C221" s="13"/>
      <c r="D221" s="13"/>
      <c r="E221" s="13"/>
      <c r="F221" s="13"/>
      <c r="G221" s="13"/>
      <c r="H221" s="15" t="s">
        <v>358</v>
      </c>
      <c r="I221" s="13"/>
      <c r="J221" s="13"/>
      <c r="K221" s="13"/>
      <c r="L221" s="13"/>
      <c r="M221" s="15" t="s">
        <v>335</v>
      </c>
      <c r="N221" s="13"/>
    </row>
    <row r="222" spans="1:14" ht="10.9" customHeight="1">
      <c r="A222" s="13"/>
      <c r="B222" s="13"/>
      <c r="C222" s="13"/>
      <c r="D222" s="13"/>
      <c r="E222" s="13"/>
      <c r="F222" s="13"/>
      <c r="G222" s="13"/>
      <c r="H222" s="11" t="s">
        <v>25</v>
      </c>
      <c r="I222" s="13"/>
      <c r="J222" s="13"/>
      <c r="K222" s="13"/>
      <c r="L222" s="13"/>
      <c r="M222" s="15" t="s">
        <v>336</v>
      </c>
      <c r="N222" s="13"/>
    </row>
    <row r="223" spans="1:14" ht="10.9" customHeight="1">
      <c r="A223" s="13"/>
      <c r="B223" s="13"/>
      <c r="C223" s="13"/>
      <c r="D223" s="13"/>
      <c r="E223" s="13"/>
      <c r="F223" s="13"/>
      <c r="G223" s="13"/>
      <c r="H223" s="13" t="s">
        <v>74</v>
      </c>
      <c r="I223" s="13"/>
      <c r="J223" s="13"/>
      <c r="K223" s="13"/>
      <c r="L223" s="13"/>
      <c r="M223" s="15" t="s">
        <v>337</v>
      </c>
      <c r="N223" s="13"/>
    </row>
    <row r="224" spans="1:14" ht="10.9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5" t="s">
        <v>338</v>
      </c>
      <c r="N224" s="13"/>
    </row>
    <row r="225" spans="1:14" ht="10.9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5" t="s">
        <v>339</v>
      </c>
      <c r="N225" s="13"/>
    </row>
    <row r="226" spans="1:14" ht="10.9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5" t="s">
        <v>340</v>
      </c>
      <c r="N226" s="13"/>
    </row>
    <row r="227" spans="1:14" ht="10.9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5" t="s">
        <v>342</v>
      </c>
      <c r="N227" s="13"/>
    </row>
    <row r="228" spans="1:14" ht="10.9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5" t="s">
        <v>1270</v>
      </c>
      <c r="N228" s="13"/>
    </row>
    <row r="229" spans="1:14" ht="10.9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5" t="s">
        <v>343</v>
      </c>
      <c r="N229" s="13"/>
    </row>
    <row r="230" spans="1:14" ht="10.9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5" t="s">
        <v>344</v>
      </c>
      <c r="N230" s="13"/>
    </row>
    <row r="231" spans="1:14" ht="10.9" customHeight="1">
      <c r="A231" s="13"/>
      <c r="B231" s="13"/>
      <c r="C231" s="13"/>
      <c r="D231" s="13"/>
      <c r="E231" s="13"/>
      <c r="F231" s="13"/>
      <c r="G231" s="13"/>
      <c r="H231" s="13"/>
      <c r="J231" s="13"/>
      <c r="K231" s="13"/>
      <c r="L231" s="13"/>
      <c r="M231" s="15" t="s">
        <v>345</v>
      </c>
      <c r="N231" s="13"/>
    </row>
    <row r="232" spans="1:14" ht="10.9" customHeight="1">
      <c r="A232" s="13"/>
      <c r="B232" s="13"/>
      <c r="C232" s="13"/>
      <c r="D232" s="13"/>
      <c r="E232" s="13"/>
      <c r="F232" s="13"/>
      <c r="G232" s="13"/>
      <c r="H232" s="13"/>
      <c r="J232" s="13"/>
      <c r="K232" s="13"/>
      <c r="L232" s="13"/>
      <c r="M232" s="15" t="s">
        <v>346</v>
      </c>
      <c r="N232" s="13"/>
    </row>
    <row r="233" spans="1:14" ht="10.9" customHeight="1">
      <c r="A233" s="13"/>
      <c r="B233" s="13"/>
      <c r="C233" s="13"/>
      <c r="D233" s="13"/>
      <c r="E233" s="13"/>
      <c r="F233" s="13"/>
      <c r="G233" s="13"/>
      <c r="H233" s="13"/>
      <c r="J233" s="13"/>
      <c r="K233" s="13"/>
      <c r="L233" s="13"/>
      <c r="M233" s="15" t="s">
        <v>347</v>
      </c>
      <c r="N233" s="13"/>
    </row>
    <row r="234" spans="1:14" ht="10.9" customHeight="1">
      <c r="A234" s="13"/>
      <c r="B234" s="13"/>
      <c r="C234" s="13"/>
      <c r="D234" s="13"/>
      <c r="E234" s="13"/>
      <c r="F234" s="13"/>
      <c r="G234" s="13"/>
      <c r="H234" s="13"/>
      <c r="J234" s="13"/>
      <c r="K234" s="13"/>
      <c r="L234" s="13"/>
      <c r="M234" s="15" t="s">
        <v>348</v>
      </c>
      <c r="N234" s="13"/>
    </row>
    <row r="235" spans="1:14" ht="10.9" customHeight="1">
      <c r="A235" s="13"/>
      <c r="B235" s="13"/>
      <c r="C235" s="13"/>
      <c r="D235" s="13"/>
      <c r="E235" s="13"/>
      <c r="F235" s="13"/>
      <c r="G235" s="13"/>
      <c r="H235" s="13"/>
      <c r="J235" s="13"/>
      <c r="K235" s="13"/>
      <c r="L235" s="13"/>
      <c r="M235" s="15" t="s">
        <v>349</v>
      </c>
      <c r="N235" s="13"/>
    </row>
    <row r="236" spans="1:14" ht="10.9" customHeight="1">
      <c r="A236" s="13"/>
      <c r="B236" s="13"/>
      <c r="C236" s="13"/>
      <c r="D236" s="13"/>
      <c r="E236" s="13"/>
      <c r="F236" s="13"/>
      <c r="G236" s="13"/>
      <c r="H236" s="13"/>
      <c r="J236" s="13"/>
      <c r="K236" s="13"/>
      <c r="L236" s="13"/>
      <c r="M236" s="15" t="s">
        <v>350</v>
      </c>
      <c r="N236" s="13"/>
    </row>
    <row r="237" spans="1:14" ht="10.9" customHeight="1">
      <c r="A237" s="13"/>
      <c r="B237" s="13"/>
      <c r="C237" s="13"/>
      <c r="D237" s="13"/>
      <c r="E237" s="13"/>
      <c r="F237" s="13"/>
      <c r="G237" s="13"/>
      <c r="H237" s="13"/>
      <c r="J237" s="13"/>
      <c r="K237" s="13"/>
      <c r="L237" s="13"/>
      <c r="M237" s="15" t="s">
        <v>351</v>
      </c>
      <c r="N237" s="13"/>
    </row>
    <row r="238" spans="1:14" ht="10.9" customHeight="1">
      <c r="A238" s="13"/>
      <c r="B238" s="13"/>
      <c r="C238" s="13"/>
      <c r="D238" s="13"/>
      <c r="E238" s="13"/>
      <c r="F238" s="13"/>
      <c r="G238" s="13"/>
      <c r="H238" s="13"/>
      <c r="J238" s="13"/>
      <c r="K238" s="13"/>
      <c r="L238" s="13"/>
      <c r="M238" s="15" t="s">
        <v>352</v>
      </c>
      <c r="N238" s="13"/>
    </row>
    <row r="239" spans="1:14" ht="10.9" customHeight="1">
      <c r="A239" s="13"/>
      <c r="B239" s="13"/>
      <c r="C239" s="13"/>
      <c r="D239" s="13"/>
      <c r="E239" s="13"/>
      <c r="F239" s="13"/>
      <c r="G239" s="13"/>
      <c r="H239" s="13"/>
      <c r="J239" s="13"/>
      <c r="K239" s="13"/>
      <c r="L239" s="13"/>
      <c r="M239" s="15" t="s">
        <v>320</v>
      </c>
      <c r="N239" s="13"/>
    </row>
    <row r="240" spans="1:14" ht="10.9" customHeight="1">
      <c r="A240" s="13"/>
      <c r="B240" s="13"/>
      <c r="C240" s="13"/>
      <c r="D240" s="13"/>
      <c r="E240" s="13"/>
      <c r="F240" s="13"/>
      <c r="G240" s="13"/>
      <c r="H240" s="13"/>
      <c r="J240" s="13"/>
      <c r="K240" s="13"/>
      <c r="L240" s="13"/>
      <c r="M240" s="15" t="s">
        <v>353</v>
      </c>
      <c r="N240" s="13"/>
    </row>
    <row r="241" spans="1:14" ht="10.9" customHeight="1">
      <c r="A241" s="13"/>
      <c r="B241" s="13"/>
      <c r="C241" s="13"/>
      <c r="D241" s="13"/>
      <c r="E241" s="13"/>
      <c r="F241" s="13"/>
      <c r="G241" s="13"/>
      <c r="H241" s="13"/>
      <c r="J241" s="13"/>
      <c r="K241" s="13"/>
      <c r="L241" s="13"/>
      <c r="M241" s="15" t="s">
        <v>354</v>
      </c>
      <c r="N241" s="13"/>
    </row>
    <row r="242" spans="1:14" ht="10.9" customHeight="1">
      <c r="A242" s="13"/>
      <c r="B242" s="13"/>
      <c r="C242" s="13"/>
      <c r="D242" s="13"/>
      <c r="E242" s="13"/>
      <c r="F242" s="13"/>
      <c r="G242" s="13"/>
      <c r="H242" s="13"/>
      <c r="J242" s="13"/>
      <c r="K242" s="13"/>
      <c r="L242" s="13"/>
      <c r="M242" s="15" t="s">
        <v>355</v>
      </c>
      <c r="N242" s="13"/>
    </row>
    <row r="243" spans="1:14" ht="10.9" customHeight="1">
      <c r="A243" s="13"/>
      <c r="B243" s="13"/>
      <c r="C243" s="13"/>
      <c r="D243" s="13"/>
      <c r="E243" s="13"/>
      <c r="F243" s="13"/>
      <c r="G243" s="13"/>
      <c r="H243" s="13"/>
      <c r="J243" s="13"/>
      <c r="K243" s="13"/>
      <c r="L243" s="13"/>
      <c r="M243" s="15" t="s">
        <v>356</v>
      </c>
      <c r="N243" s="13"/>
    </row>
    <row r="244" spans="1:14" ht="10.9" customHeight="1">
      <c r="A244" s="13"/>
      <c r="B244" s="13"/>
      <c r="C244" s="13"/>
      <c r="D244" s="13"/>
      <c r="E244" s="13"/>
      <c r="F244" s="13"/>
      <c r="G244" s="13"/>
      <c r="H244" s="13"/>
      <c r="J244" s="13"/>
      <c r="K244" s="13"/>
      <c r="L244" s="13"/>
      <c r="M244" s="15" t="s">
        <v>357</v>
      </c>
      <c r="N244" s="13"/>
    </row>
    <row r="245" spans="1:14" ht="10.9" customHeight="1">
      <c r="A245" s="13"/>
      <c r="B245" s="13"/>
      <c r="C245" s="13"/>
      <c r="D245" s="13"/>
      <c r="E245" s="13"/>
      <c r="F245" s="13"/>
      <c r="G245" s="13"/>
      <c r="H245" s="13"/>
      <c r="J245" s="13"/>
      <c r="K245" s="13"/>
      <c r="L245" s="13"/>
      <c r="M245" s="15" t="s">
        <v>358</v>
      </c>
      <c r="N245" s="13"/>
    </row>
    <row r="1048566" ht="12.75" customHeight="1"/>
    <row r="1048567" ht="12.75" customHeight="1"/>
    <row r="1048568" ht="12.75" customHeight="1"/>
    <row r="1048569" ht="12.75" customHeight="1"/>
    <row r="1048570" ht="12.75" customHeight="1"/>
    <row r="1048571" ht="12.75" customHeight="1"/>
    <row r="1048572" ht="12.75" customHeight="1"/>
    <row r="1048573" ht="12.75" customHeight="1"/>
    <row r="1048574" ht="12.75" customHeight="1"/>
    <row r="1048575" ht="12.75" customHeight="1"/>
    <row r="1048576" ht="12.75" customHeight="1"/>
  </sheetData>
  <sheetProtection sheet="1" objects="1" scenarios="1" selectLockedCells="1" selectUnlockedCells="1"/>
  <pageMargins left="0.78739999999999999" right="0.78739999999999999" top="1.1815" bottom="1.1815" header="0.78739999999999999" footer="0.78739999999999999"/>
  <pageSetup paperSize="0" fitToWidth="0" fitToHeight="0" pageOrder="overThenDown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H214"/>
  <sheetViews>
    <sheetView zoomScale="175" zoomScaleNormal="175" workbookViewId="0"/>
  </sheetViews>
  <sheetFormatPr defaultRowHeight="10.9" customHeight="1"/>
  <cols>
    <col min="1" max="1" width="10.7109375" style="19" customWidth="1"/>
    <col min="2" max="2" width="35.7109375" style="1" customWidth="1"/>
    <col min="3" max="3" width="1.28515625" style="1" customWidth="1"/>
    <col min="4" max="4" width="9.7109375" style="1" customWidth="1"/>
    <col min="5" max="5" width="2.7109375" style="1" customWidth="1"/>
    <col min="6" max="240" width="6.140625" style="1" customWidth="1"/>
    <col min="241" max="1022" width="12.28515625" style="2" customWidth="1"/>
  </cols>
  <sheetData>
    <row r="1" spans="1:7" ht="12.95" customHeight="1">
      <c r="A1" s="285" t="s">
        <v>359</v>
      </c>
      <c r="B1" s="286" t="s">
        <v>360</v>
      </c>
      <c r="D1" s="713" t="s">
        <v>361</v>
      </c>
      <c r="E1" s="714"/>
    </row>
    <row r="2" spans="1:7" ht="10.9" customHeight="1">
      <c r="A2" s="287" t="s">
        <v>25</v>
      </c>
      <c r="B2" s="288"/>
      <c r="D2" s="358" t="s">
        <v>362</v>
      </c>
      <c r="E2" s="419">
        <f>IF(VLOOKUP(Damage!K15,Stats!A246:N447,5,0)=IF(OR(BNWCP!C25="Black Heart",BNWCP!C26="Black Heart"),0,1),IF(OR(BNWCP!C25="Black Heart",BNWCP!C26="Black Heart"),2,0),0)</f>
        <v>0</v>
      </c>
      <c r="F2"/>
      <c r="G2"/>
    </row>
    <row r="3" spans="1:7" ht="10.9" customHeight="1">
      <c r="A3" s="289" t="s">
        <v>179</v>
      </c>
      <c r="B3" s="290" t="s">
        <v>363</v>
      </c>
      <c r="D3" s="292" t="s">
        <v>364</v>
      </c>
      <c r="E3" s="298">
        <f>IF(VLOOKUP(Damage!K15,Stats!A246:N447,5,0)=2,IF(OR(BNWCP!C25="Black Heart",BNWCP!C26="Black Heart"),2,0),0)</f>
        <v>0</v>
      </c>
      <c r="F3"/>
      <c r="G3"/>
    </row>
    <row r="4" spans="1:7" ht="10.9" customHeight="1">
      <c r="A4" s="291" t="s">
        <v>90</v>
      </c>
      <c r="B4" s="288" t="s">
        <v>365</v>
      </c>
      <c r="D4" s="292" t="s">
        <v>366</v>
      </c>
      <c r="E4" s="298">
        <f>IF(VLOOKUP(Damage!K15,Stats!A246:N447,5,0)=3,IF(OR(BNWCP!C22="Flameguard",BNWCP!C24="Minerva",BNWCP!C25="Blizzard Orb",BNWCP!C26="Blizzard Orb"),2,IF(OR(BNWCP!C23="Tiger Mask",BNWCP!C24="Dragon Hide",BNWCP!C24="Force Armor",BNWCP!C27="Ifrit"),IF(OR(BNWCP!C25="Black Heart",BNWCP!C26="Black Heart"),0,1),IF(OR(BNWCP!C25="Black Heart",BNWCP!C26="Black Heart"),-1,0))),0)</f>
        <v>0</v>
      </c>
      <c r="F4"/>
      <c r="G4"/>
    </row>
    <row r="5" spans="1:7" ht="10.9" customHeight="1">
      <c r="A5" s="289" t="s">
        <v>237</v>
      </c>
      <c r="B5" s="290" t="s">
        <v>367</v>
      </c>
      <c r="D5" s="292" t="s">
        <v>368</v>
      </c>
      <c r="E5" s="298">
        <f>IF(VLOOKUP(Damage!K15,Stats!A246:N447,5,0)=4,IF(OR(BNWCP!C22="Iceguard",BNWCP!C24="Minerva",BNWCP!C24="Snow Muffler"),2,IF(OR(BNWCP!C24="Force Armor",BNWCP!C27="Shiva"),IF(OR(BNWCP!C25="Black Heart",BNWCP!C26="Black Heart"),0,1),IF(OR(BNWCP!C25="Black Heart",BNWCP!C26="Black Heart"),-1,0))),0)</f>
        <v>0</v>
      </c>
      <c r="F5"/>
      <c r="G5"/>
    </row>
    <row r="6" spans="1:7" ht="10.9" customHeight="1">
      <c r="A6" s="287" t="s">
        <v>151</v>
      </c>
      <c r="B6" s="288" t="s">
        <v>369</v>
      </c>
      <c r="D6" s="292" t="s">
        <v>370</v>
      </c>
      <c r="E6" s="298">
        <f>IF(VLOOKUP(Damage!K15,Stats!A246:N447,5,0)=5,IF(OR(BNWCP!C22="Thunderguard",BNWCP!C24="Minerva",BNWCP!C25="Storm Belt",BNWCP!C26="Storm Belt"),2,IF(OR(BNWCP!C22="Diamond Kite",BNWCP!C23="Diamond Helm",BNWCP!C24="Diamond Vest",BNWCP!C24="Diamond Mail",BNWCP!C24="Force Armor",BNWCP!C24="Lazy Shell",BNWCP!C27="Ramuh"),IF(OR(BNWCP!C25="Black Heart",BNWCP!C26="Black Heart"),0,1),IF(OR(BNWCP!C25="Black Heart",BNWCP!C26="Black Heart"),-1,0))),0)</f>
        <v>0</v>
      </c>
      <c r="F6"/>
      <c r="G6"/>
    </row>
    <row r="7" spans="1:7" ht="10.9" customHeight="1">
      <c r="A7" s="289" t="s">
        <v>148</v>
      </c>
      <c r="B7" s="290" t="s">
        <v>371</v>
      </c>
      <c r="D7" s="292" t="s">
        <v>372</v>
      </c>
      <c r="E7" s="298">
        <f>IF(VLOOKUP(Damage!K15,Stats!A246:N447,5,0)=6,IF(OR(BNWCP!C22="Gold Shield",BNWCP!C23="Gold Helm",BNWCP!C24="Gold Armor",BNWCP!C24="Gator Hide",BNWCP!C24="Chocobo Hide",BNWCP!C27="Bismark"),IF(OR(BNWCP!C25="Black Heart",BNWCP!C26="Black Heart"),0,1),IF(OR(BNWCP!C25="Black Heart",BNWCP!C26="Black Heart"),-1,0)),0)</f>
        <v>0</v>
      </c>
      <c r="F7"/>
      <c r="G7"/>
    </row>
    <row r="8" spans="1:7" ht="10.9" customHeight="1">
      <c r="A8" s="287" t="s">
        <v>133</v>
      </c>
      <c r="B8" s="288" t="s">
        <v>373</v>
      </c>
      <c r="D8" s="292" t="s">
        <v>374</v>
      </c>
      <c r="E8" s="298">
        <f>IF(VLOOKUP(Damage!K15,Stats!A246:N447,5,0)=7,IF(OR(BNWCP!C22="Flameguard",BNWCP!C24="Minerva",BNWCP!C25="Blizzard Orb",BNWCP!C26="Blizzard Orb",BNWCP!C25="Black Heart",BNWCP!C26="Black Heart"),2,IF(OR(BNWCP!C23="Tiger Mask",BNWCP!C24="Dragon Hide",BNWCP!C24="Force Armor",BNWCP!C27="Ifrit"),1,0)),0)</f>
        <v>0</v>
      </c>
      <c r="F8"/>
      <c r="G8"/>
    </row>
    <row r="9" spans="1:7" ht="10.9" customHeight="1">
      <c r="A9" s="289" t="s">
        <v>252</v>
      </c>
      <c r="B9" s="290" t="s">
        <v>375</v>
      </c>
      <c r="D9" s="292" t="s">
        <v>376</v>
      </c>
      <c r="E9" s="298">
        <f>IF(VLOOKUP(Damage!K15,Stats!A246:N447,5,0)=8,IF(BNWCP!C22="Flameguard",2,IF(OR(BNWCP!C23="Tiger Mask",BNWCP!C24="Dragon Hide",BNWCP!C24="Force Armor",BNWCP!C24="Minerva",BNWCP!C25="Blizzard Orb",BNWCP!C26="Blizzard Orb",BNWCP!C22="Gold Shield",BNWCP!C23="Gold Helm",BNWCP!C24="Gold Armor",BNWCP!C24="Gator Hide",BNWCP!C24="Chocobo Hide",BNWCP!C27="Ifrit",BNWCP!C27="Bismark"),IF(OR(BNWCP!C25="Black Heart",BNWCP!C26="Black Heart"),0,1),IF(OR(BNWCP!C25="Black Heart",BNWCP!C26="Black Heart"),-1,0))),0)</f>
        <v>0</v>
      </c>
      <c r="F9"/>
      <c r="G9"/>
    </row>
    <row r="10" spans="1:7" ht="10.9" customHeight="1">
      <c r="A10" s="291" t="s">
        <v>89</v>
      </c>
      <c r="B10" s="288" t="s">
        <v>377</v>
      </c>
      <c r="D10" s="292" t="s">
        <v>378</v>
      </c>
      <c r="E10" s="298">
        <f>IF(VLOOKUP(Damage!K15,Stats!A246:N447,5,0)=9,IF(BNWCP!C22="Iceguard",2,IF(OR(BNWCP!C24="Force Armor",BNWCP!C24="Minerva",BNWCP!C24="Snow Muffler",BNWCP!C22="Gold Shield",BNWCP!C23="Gold Helm",BNWCP!C24="Gold Armor",BNWCP!C24="Gator Hide",BNWCP!C24="Chocobo Hide",BNWCP!C27="Shiva",BNWCP!C27="Bismark"),IF(OR(BNWCP!C25="Black Heart",BNWCP!C26="Black Heart"),0,1),IF(OR(BNWCP!C25="Black Heart",BNWCP!C26="Black Heart"),-1,0))),0)</f>
        <v>0</v>
      </c>
      <c r="F10"/>
      <c r="G10"/>
    </row>
    <row r="11" spans="1:7" ht="10.9" customHeight="1">
      <c r="A11" s="289" t="s">
        <v>183</v>
      </c>
      <c r="B11" s="290"/>
      <c r="D11" s="292" t="s">
        <v>379</v>
      </c>
      <c r="E11" s="298">
        <f>IF(VLOOKUP(Damage!K15,Stats!A246:N447,5,0)=10,IF(BNWCP!C22="Thunderguard",2,IF(OR(BNWCP!C22="Diamond Kite",BNWCP!C23="Diamond Helm",BNWCP!C24="Diamond Vest",BNWCP!C24="Diamond Mail",BNWCP!C24="Force Armor",BNWCP!C24="Lazy Shell",BNWCP!C24="Minerva",BNWCP!C25="Storm Belt",BNWCP!C26="Storm Belt",BNWCP!C22="Gold Shield",BNWCP!C23="Gold Helm",BNWCP!C24="Gold Armor",BNWCP!C24="Gator Hide",BNWCP!C24="Chocobo Hide",BNWCP!C27="Ramuh",BNWCP!C27="Bismark"),IF(OR(BNWCP!C25="Black Heart",BNWCP!C26="Black Heart"),0,1),IF(OR(BNWCP!C25="Black Heart",BNWCP!C26="Black Heart"),-1,0))),0)</f>
        <v>0</v>
      </c>
      <c r="F11"/>
      <c r="G11"/>
    </row>
    <row r="12" spans="1:7" ht="10.9" customHeight="1">
      <c r="A12" s="287" t="s">
        <v>241</v>
      </c>
      <c r="B12" s="288" t="s">
        <v>380</v>
      </c>
      <c r="D12" s="292" t="s">
        <v>381</v>
      </c>
      <c r="E12" s="298">
        <f>IF(VLOOKUP(Damage!K15,Stats!A246:N447,5,0)=11,IF(AND(BNWCP!C24="Snow Muffler",OR(BNWCP!C25="Black Heart",BNWCP!C26="Black Heart")),2,IF(OR(BNWCP!C25="Black Heart",BNWCP!C26="Black Heart",BNWCP!C22="Crystal Kite",BNWCP!C23="Crystal Helm",BNWCP!C24="Crystal Mail",BNWCP!C24="Chocobo Hide",BNWCP!C24="Moogle Hide",BNWCP!C24="Dragon Hide",BNWCP!C24="Lazy Shell",BNWCP!C24="Snow Muffler",BNWCP!C27="Maduin"),1,0)),0)</f>
        <v>0</v>
      </c>
      <c r="F12"/>
      <c r="G12"/>
    </row>
    <row r="13" spans="1:7" ht="10.9" customHeight="1">
      <c r="A13" s="292" t="s">
        <v>18</v>
      </c>
      <c r="B13" s="290" t="s">
        <v>382</v>
      </c>
      <c r="D13" s="292" t="s">
        <v>383</v>
      </c>
      <c r="E13" s="298">
        <f>IF(VLOOKUP(Damage!K15,Stats!A246:N447,5,0)=12,IF(BNWCP!C22="Flameguard",2,IF(OR(BNWCP!C23="Tiger Mask",BNWCP!C24="Force Armor",BNWCP!C24="Minerva",BNWCP!C25="Blizzard Orb",BNWCP!C26="Blizzard Orb",BNWCP!C22="Crystal Kite",BNWCP!C23="Crystal Helm",BNWCP!C24="Crystal Mail",BNWCP!C24="Lazy Shell",BNWCP!C24="Chocobo Hide",BNWCP!C24="Moogle Hide",BNWCP!C24="Dragon Hide",BNWCP!C24="Snow Muffler",BNWCP!C27="Ifrit",BNWCP!C27="Maduin"),IF(OR(BNWCP!C25="Black Heart",BNWCP!C26="Black Heart"),0,1),IF(OR(BNWCP!C25="Black Heart",BNWCP!C26="Black Heart"),-1,0))),0)</f>
        <v>0</v>
      </c>
      <c r="F13"/>
      <c r="G13"/>
    </row>
    <row r="14" spans="1:7" ht="10.9" customHeight="1">
      <c r="A14" s="287" t="s">
        <v>253</v>
      </c>
      <c r="B14" s="288" t="s">
        <v>384</v>
      </c>
      <c r="D14" s="292" t="s">
        <v>385</v>
      </c>
      <c r="E14" s="298">
        <f>IF(VLOOKUP(Damage!K15,Stats!A246:N447,5,0)=13,IF(BNWCP!C22="Iceguard",2,IF(OR(BNWCP!C24="Force Armor",BNWCP!C24="Minerva",BNWCP!C22="Crystal Kite",BNWCP!C23="Crystal Helm",BNWCP!C24="Crystal Mail",BNWCP!C24="Lazy Shell",BNWCP!C24="Chocobo Hide",BNWCP!C24="Moogle Hide",BNWCP!C24="Dragon Hide",BNWCP!C24="Snow Muffler",BNWCP!C27="Shiva",BNWCP!C27="Maduin"),IF(OR(BNWCP!C25="Black Heart",BNWCP!C26="Black Heart"),0,1),IF(OR(BNWCP!C25="Black Heart",BNWCP!C26="Black Heart"),-1,0))),0)</f>
        <v>0</v>
      </c>
      <c r="F14"/>
      <c r="G14"/>
    </row>
    <row r="15" spans="1:7" ht="10.9" customHeight="1">
      <c r="A15" s="289" t="s">
        <v>260</v>
      </c>
      <c r="B15" s="290" t="s">
        <v>386</v>
      </c>
      <c r="D15" s="292" t="s">
        <v>387</v>
      </c>
      <c r="E15" s="298">
        <f>IF(VLOOKUP(Damage!K15,Stats!A246:N447,5,0)=14,IF(BNWCP!C22="Thunderguard",2,IF(OR(BNWCP!C22="Diamond Kite",BNWCP!C23="Diamond Helm",BNWCP!C24="Diamond Vest",BNWCP!C24="Diamond Mail",BNWCP!C24="Force Armor",BNWCP!C24="Minerva",BNWCP!C25="Storm Belt",BNWCP!C26="Storm Belt",BNWCP!C22="Crystal Kite",BNWCP!C23="Crystal Helm",BNWCP!C24="Crystal Mail",BNWCP!C24="Chocobo Hide",BNWCP!C24="Moogle Hide",BNWCP!C24="Dragon Hide",BNWCP!C24="Lazy Shell",BNWCP!C24="Snow Muffler",BNWCP!C27="Ramuh",BNWCP!C27="Maduin"),IF(OR(BNWCP!C25="Black Heart",BNWCP!C26="Black Heart"),0,1),IF(OR(BNWCP!C25="Black Heart",BNWCP!C26="Black Heart"),-1,0))),0)</f>
        <v>0</v>
      </c>
      <c r="F15"/>
      <c r="G15"/>
    </row>
    <row r="16" spans="1:7" ht="10.9" customHeight="1">
      <c r="A16" s="287" t="s">
        <v>262</v>
      </c>
      <c r="B16" s="293" t="s">
        <v>388</v>
      </c>
      <c r="D16" s="292" t="s">
        <v>389</v>
      </c>
      <c r="E16" s="298">
        <f>IF(VLOOKUP(Damage!K15,Stats!A246:N447,5,0)=15,IF(OR(BNWCP!C22="Gold Shield",BNWCP!C23="Gold Helm",BNWCP!C24="Gold Armor",BNWCP!C24="Gator Hide",BNWCP!C22="Crystal Kite",BNWCP!C23="Crystal Helm",BNWCP!C24="Crystal Mail",BNWCP!C24="Chocobo Hide",BNWCP!C24="Moogle Hide",BNWCP!C24="Dragon Hide",BNWCP!C24="Lazy Shell",BNWCP!C24="Snow Muffler",BNWCP!C27="Bismark",BNWCP!C27="Maduin"),IF(OR(BNWCP!C25="Black Heart",BNWCP!C26="Black Heart"),0,1),IF(OR(BNWCP!C25="Black Heart",BNWCP!C26="Black Heart"),-1,0)),0)</f>
        <v>0</v>
      </c>
      <c r="F16"/>
      <c r="G16"/>
    </row>
    <row r="17" spans="1:7" ht="10.9" customHeight="1">
      <c r="A17" s="289" t="s">
        <v>130</v>
      </c>
      <c r="B17" s="290" t="s">
        <v>390</v>
      </c>
      <c r="D17" s="292" t="s">
        <v>391</v>
      </c>
      <c r="E17" s="298">
        <f>IF(VLOOKUP(Damage!K15,Stats!A246:N447,5,0)=16,IF(OR(BNWCP!C24="Gaia Gear",BNWCP!C24="Tabby Hide",BNWCP!C22="Crystal Kite",BNWCP!C23="Crystal Helm",BNWCP!C24="Crystal Mail",BNWCP!C24="Chocobo Hide",BNWCP!C24="Moogle Hide",BNWCP!C24="Dragon Hide",BNWCP!C24="Lazy Shell",BNWCP!C24="Snow Muffler",BNWCP!C27="Terrato",BNWCP!C27="Maduin"),IF(OR(BNWCP!C25="Black Heart",BNWCP!C26="Black Heart"),0,1),IF(OR(BNWCP!C25="Black Heart",BNWCP!C26="Black Heart"),-1,0)),0)</f>
        <v>0</v>
      </c>
      <c r="F17"/>
      <c r="G17"/>
    </row>
    <row r="18" spans="1:7" ht="10.9" customHeight="1">
      <c r="A18" s="287" t="s">
        <v>102</v>
      </c>
      <c r="B18" s="288"/>
      <c r="D18" s="292" t="s">
        <v>392</v>
      </c>
      <c r="E18" s="420">
        <f>IF(VLOOKUP(Damage!K15,Stats!A246:N447,5,0)=17,IF(BNWCP!C24="Snow Muffler",2,IF(OR(BNWCP!C22="Crystal Kite",BNWCP!C23="Crystal Helm",BNWCP!C24="Crystal Mail",BNWCP!C24="Lazy Shell",BNWCP!C24="Chocobo Hide",BNWCP!C24="Moogle Hide",BNWCP!C24="Dragon Hide",BNWCP!C27="Maduin"),IF(OR(BNWCP!C25="Black Heart",BNWCP!C26="Black Heart"),0,1),IF(OR(BNWCP!C25="Black Heart",BNWCP!C26="Black Heart"),-1,0))),0)</f>
        <v>0</v>
      </c>
      <c r="F18"/>
      <c r="G18"/>
    </row>
    <row r="19" spans="1:7" ht="10.9" customHeight="1" thickBot="1">
      <c r="A19" s="289" t="s">
        <v>154</v>
      </c>
      <c r="B19" s="290" t="s">
        <v>393</v>
      </c>
      <c r="D19" s="299" t="s">
        <v>394</v>
      </c>
      <c r="E19" s="300">
        <f>IF(VLOOKUP(Damage!K15,Stats!A246:N447,5,0)=18,IF(OR(BNWCP!C24="Gaia Gear",BNWCP!C24="Tabby Hide",BNWCP!C24="Moogle Hide",BNWCP!C27="Terrato"),IF(OR(BNWCP!C25="Black Heart",BNWCP!C26="Black Heart"),0,1),IF(OR(BNWCP!C25="Black Heart",BNWCP!C26="Black Heart"),-1,0)),0)</f>
        <v>0</v>
      </c>
      <c r="F19"/>
      <c r="G19"/>
    </row>
    <row r="20" spans="1:7" ht="10.9" customHeight="1">
      <c r="A20" s="287" t="s">
        <v>233</v>
      </c>
      <c r="B20" s="288" t="s">
        <v>395</v>
      </c>
    </row>
    <row r="21" spans="1:7" ht="10.9" customHeight="1">
      <c r="A21" s="289" t="s">
        <v>167</v>
      </c>
      <c r="B21" s="290"/>
    </row>
    <row r="22" spans="1:7" ht="10.9" customHeight="1">
      <c r="A22" s="287" t="s">
        <v>108</v>
      </c>
      <c r="B22" s="288" t="s">
        <v>396</v>
      </c>
    </row>
    <row r="23" spans="1:7" ht="10.9" customHeight="1">
      <c r="A23" s="292" t="s">
        <v>17</v>
      </c>
      <c r="B23" s="290" t="s">
        <v>397</v>
      </c>
    </row>
    <row r="24" spans="1:7" ht="10.9" customHeight="1">
      <c r="A24" s="287" t="s">
        <v>196</v>
      </c>
      <c r="B24" s="288"/>
    </row>
    <row r="25" spans="1:7" ht="10.9" customHeight="1">
      <c r="A25" s="289" t="s">
        <v>220</v>
      </c>
      <c r="B25" s="290" t="s">
        <v>398</v>
      </c>
    </row>
    <row r="26" spans="1:7" ht="10.9" customHeight="1">
      <c r="A26" s="287" t="s">
        <v>195</v>
      </c>
      <c r="B26" s="288"/>
    </row>
    <row r="27" spans="1:7" ht="10.9" customHeight="1">
      <c r="A27" s="289" t="s">
        <v>95</v>
      </c>
      <c r="B27" s="290"/>
    </row>
    <row r="28" spans="1:7" ht="10.9" customHeight="1">
      <c r="A28" s="287" t="s">
        <v>205</v>
      </c>
      <c r="B28" s="288"/>
    </row>
    <row r="29" spans="1:7" ht="10.9" customHeight="1">
      <c r="A29" s="292" t="s">
        <v>85</v>
      </c>
      <c r="B29" s="290" t="s">
        <v>399</v>
      </c>
    </row>
    <row r="30" spans="1:7" ht="10.9" customHeight="1">
      <c r="A30" s="287" t="s">
        <v>197</v>
      </c>
      <c r="B30" s="294" t="s">
        <v>400</v>
      </c>
    </row>
    <row r="31" spans="1:7" ht="10.9" customHeight="1">
      <c r="A31" s="289" t="s">
        <v>175</v>
      </c>
      <c r="B31" s="290" t="s">
        <v>400</v>
      </c>
    </row>
    <row r="32" spans="1:7" ht="10.9" customHeight="1">
      <c r="A32" s="287" t="s">
        <v>224</v>
      </c>
      <c r="B32" s="288" t="s">
        <v>400</v>
      </c>
    </row>
    <row r="33" spans="1:2" ht="10.9" customHeight="1">
      <c r="A33" s="289" t="s">
        <v>259</v>
      </c>
      <c r="B33" s="290" t="s">
        <v>401</v>
      </c>
    </row>
    <row r="34" spans="1:2" ht="10.9" customHeight="1">
      <c r="A34" s="287" t="s">
        <v>150</v>
      </c>
      <c r="B34" s="288" t="s">
        <v>402</v>
      </c>
    </row>
    <row r="35" spans="1:2" ht="10.9" customHeight="1">
      <c r="A35" s="289" t="s">
        <v>221</v>
      </c>
      <c r="B35" s="290"/>
    </row>
    <row r="36" spans="1:2" ht="10.9" customHeight="1">
      <c r="A36" s="287" t="s">
        <v>190</v>
      </c>
      <c r="B36" s="288"/>
    </row>
    <row r="37" spans="1:2" ht="10.9" customHeight="1">
      <c r="A37" s="289" t="s">
        <v>139</v>
      </c>
      <c r="B37" s="290" t="s">
        <v>403</v>
      </c>
    </row>
    <row r="38" spans="1:2" ht="10.9" customHeight="1">
      <c r="A38" s="287" t="s">
        <v>268</v>
      </c>
      <c r="B38" s="288" t="s">
        <v>404</v>
      </c>
    </row>
    <row r="39" spans="1:2" ht="10.9" customHeight="1">
      <c r="A39" s="289" t="s">
        <v>121</v>
      </c>
      <c r="B39" s="290" t="s">
        <v>405</v>
      </c>
    </row>
    <row r="40" spans="1:2" ht="10.9" customHeight="1">
      <c r="A40" s="287" t="s">
        <v>194</v>
      </c>
      <c r="B40" s="288" t="s">
        <v>406</v>
      </c>
    </row>
    <row r="41" spans="1:2" ht="10.9" customHeight="1">
      <c r="A41" s="289" t="s">
        <v>173</v>
      </c>
      <c r="B41" s="290" t="s">
        <v>406</v>
      </c>
    </row>
    <row r="42" spans="1:2" ht="10.9" customHeight="1">
      <c r="A42" s="287" t="s">
        <v>222</v>
      </c>
      <c r="B42" s="288" t="s">
        <v>406</v>
      </c>
    </row>
    <row r="43" spans="1:2" ht="10.9" customHeight="1">
      <c r="A43" s="289" t="s">
        <v>211</v>
      </c>
      <c r="B43" s="290" t="s">
        <v>406</v>
      </c>
    </row>
    <row r="44" spans="1:2" ht="10.9" customHeight="1">
      <c r="A44" s="287" t="s">
        <v>146</v>
      </c>
      <c r="B44" s="288" t="s">
        <v>407</v>
      </c>
    </row>
    <row r="45" spans="1:2" ht="10.9" customHeight="1">
      <c r="A45" s="289" t="s">
        <v>129</v>
      </c>
      <c r="B45" s="290" t="s">
        <v>408</v>
      </c>
    </row>
    <row r="46" spans="1:2" ht="10.9" customHeight="1">
      <c r="A46" s="287" t="s">
        <v>201</v>
      </c>
      <c r="B46" s="288" t="s">
        <v>409</v>
      </c>
    </row>
    <row r="47" spans="1:2" ht="10.9" customHeight="1">
      <c r="A47" s="289" t="s">
        <v>225</v>
      </c>
      <c r="B47" s="290" t="s">
        <v>410</v>
      </c>
    </row>
    <row r="48" spans="1:2" ht="10.9" customHeight="1">
      <c r="A48" s="287" t="s">
        <v>265</v>
      </c>
      <c r="B48" s="288" t="s">
        <v>411</v>
      </c>
    </row>
    <row r="49" spans="1:2" ht="10.9" customHeight="1">
      <c r="A49" s="289" t="s">
        <v>124</v>
      </c>
      <c r="B49" s="290" t="s">
        <v>412</v>
      </c>
    </row>
    <row r="50" spans="1:2" ht="10.9" customHeight="1">
      <c r="A50" s="287" t="s">
        <v>145</v>
      </c>
      <c r="B50" s="288" t="s">
        <v>413</v>
      </c>
    </row>
    <row r="51" spans="1:2" ht="10.9" customHeight="1">
      <c r="A51" s="289" t="s">
        <v>235</v>
      </c>
      <c r="B51" s="290" t="s">
        <v>414</v>
      </c>
    </row>
    <row r="52" spans="1:2" ht="10.9" customHeight="1">
      <c r="A52" s="287" t="s">
        <v>138</v>
      </c>
      <c r="B52" s="288" t="s">
        <v>415</v>
      </c>
    </row>
    <row r="53" spans="1:2" ht="10.9" customHeight="1">
      <c r="A53" s="292" t="s">
        <v>81</v>
      </c>
      <c r="B53" s="290"/>
    </row>
    <row r="54" spans="1:2" ht="10.9" customHeight="1">
      <c r="A54" s="287" t="s">
        <v>116</v>
      </c>
      <c r="B54" s="288" t="s">
        <v>416</v>
      </c>
    </row>
    <row r="55" spans="1:2" ht="10.9" customHeight="1">
      <c r="A55" s="289" t="s">
        <v>104</v>
      </c>
      <c r="B55" s="290" t="s">
        <v>417</v>
      </c>
    </row>
    <row r="56" spans="1:2" ht="10.9" customHeight="1">
      <c r="A56" s="287" t="s">
        <v>149</v>
      </c>
      <c r="B56" s="288" t="s">
        <v>418</v>
      </c>
    </row>
    <row r="57" spans="1:2" ht="10.9" customHeight="1">
      <c r="A57" s="289" t="s">
        <v>170</v>
      </c>
      <c r="B57" s="290" t="s">
        <v>419</v>
      </c>
    </row>
    <row r="58" spans="1:2" ht="10.9" customHeight="1">
      <c r="A58" s="287" t="s">
        <v>112</v>
      </c>
      <c r="B58" s="288" t="s">
        <v>420</v>
      </c>
    </row>
    <row r="59" spans="1:2" ht="10.9" customHeight="1">
      <c r="A59" s="289" t="s">
        <v>229</v>
      </c>
      <c r="B59" s="290" t="s">
        <v>421</v>
      </c>
    </row>
    <row r="60" spans="1:2" ht="10.9" customHeight="1">
      <c r="A60" s="287" t="s">
        <v>178</v>
      </c>
      <c r="B60" s="288" t="s">
        <v>422</v>
      </c>
    </row>
    <row r="61" spans="1:2" ht="10.9" customHeight="1">
      <c r="A61" s="289" t="s">
        <v>125</v>
      </c>
      <c r="B61" s="290" t="s">
        <v>423</v>
      </c>
    </row>
    <row r="62" spans="1:2" ht="10.9" customHeight="1">
      <c r="A62" s="287" t="s">
        <v>155</v>
      </c>
      <c r="B62" s="288" t="s">
        <v>393</v>
      </c>
    </row>
    <row r="63" spans="1:2" ht="10.9" customHeight="1">
      <c r="A63" s="289" t="s">
        <v>215</v>
      </c>
      <c r="B63" s="290" t="s">
        <v>424</v>
      </c>
    </row>
    <row r="64" spans="1:2" ht="10.9" customHeight="1">
      <c r="A64" s="287" t="s">
        <v>263</v>
      </c>
      <c r="B64" s="288" t="s">
        <v>425</v>
      </c>
    </row>
    <row r="65" spans="1:2" ht="10.9" customHeight="1">
      <c r="A65" s="289" t="s">
        <v>219</v>
      </c>
      <c r="B65" s="290" t="s">
        <v>382</v>
      </c>
    </row>
    <row r="66" spans="1:2" ht="10.9" customHeight="1">
      <c r="A66" s="287" t="s">
        <v>270</v>
      </c>
      <c r="B66" s="288" t="s">
        <v>426</v>
      </c>
    </row>
    <row r="67" spans="1:2" ht="10.9" customHeight="1">
      <c r="A67" s="289" t="s">
        <v>226</v>
      </c>
      <c r="B67" s="290"/>
    </row>
    <row r="68" spans="1:2" ht="10.9" customHeight="1">
      <c r="A68" s="287" t="s">
        <v>199</v>
      </c>
      <c r="B68" s="288"/>
    </row>
    <row r="69" spans="1:2" ht="10.9" customHeight="1">
      <c r="A69" s="289" t="s">
        <v>177</v>
      </c>
      <c r="B69" s="290" t="s">
        <v>377</v>
      </c>
    </row>
    <row r="70" spans="1:2" ht="10.9" customHeight="1">
      <c r="A70" s="287" t="s">
        <v>248</v>
      </c>
      <c r="B70" s="288" t="s">
        <v>427</v>
      </c>
    </row>
    <row r="71" spans="1:2" ht="10.9" customHeight="1">
      <c r="A71" s="289" t="s">
        <v>232</v>
      </c>
      <c r="B71" s="290" t="s">
        <v>428</v>
      </c>
    </row>
    <row r="72" spans="1:2" ht="10.9" customHeight="1">
      <c r="A72" s="287" t="s">
        <v>216</v>
      </c>
      <c r="B72" s="288" t="s">
        <v>382</v>
      </c>
    </row>
    <row r="73" spans="1:2" ht="10.9" customHeight="1">
      <c r="A73" s="289" t="s">
        <v>192</v>
      </c>
      <c r="B73" s="290" t="s">
        <v>382</v>
      </c>
    </row>
    <row r="74" spans="1:2" ht="10.9" customHeight="1">
      <c r="A74" s="287" t="s">
        <v>171</v>
      </c>
      <c r="B74" s="288" t="s">
        <v>382</v>
      </c>
    </row>
    <row r="75" spans="1:2" ht="10.9" customHeight="1">
      <c r="A75" s="292" t="s">
        <v>80</v>
      </c>
      <c r="B75" s="290"/>
    </row>
    <row r="76" spans="1:2" ht="10.9" customHeight="1">
      <c r="A76" s="287" t="s">
        <v>185</v>
      </c>
      <c r="B76" s="288"/>
    </row>
    <row r="77" spans="1:2" ht="10.9" customHeight="1">
      <c r="A77" s="289" t="s">
        <v>245</v>
      </c>
      <c r="B77" s="290" t="s">
        <v>377</v>
      </c>
    </row>
    <row r="78" spans="1:2" ht="10.9" customHeight="1">
      <c r="A78" s="287" t="s">
        <v>128</v>
      </c>
      <c r="B78" s="288" t="s">
        <v>429</v>
      </c>
    </row>
    <row r="79" spans="1:2" ht="10.9" customHeight="1">
      <c r="A79" s="289" t="s">
        <v>184</v>
      </c>
      <c r="B79" s="290"/>
    </row>
    <row r="80" spans="1:2" ht="10.9" customHeight="1">
      <c r="A80" s="287" t="s">
        <v>94</v>
      </c>
      <c r="B80" s="288" t="s">
        <v>430</v>
      </c>
    </row>
    <row r="81" spans="1:2" ht="10.9" customHeight="1">
      <c r="A81" s="289" t="s">
        <v>203</v>
      </c>
      <c r="B81" s="290"/>
    </row>
    <row r="82" spans="1:2" ht="10.9" customHeight="1">
      <c r="A82" s="287" t="s">
        <v>92</v>
      </c>
      <c r="B82" s="293" t="s">
        <v>431</v>
      </c>
    </row>
    <row r="83" spans="1:2" ht="10.9" customHeight="1">
      <c r="A83" s="289" t="s">
        <v>273</v>
      </c>
      <c r="B83" s="290" t="s">
        <v>432</v>
      </c>
    </row>
    <row r="84" spans="1:2" ht="10.9" customHeight="1">
      <c r="A84" s="287" t="s">
        <v>119</v>
      </c>
      <c r="B84" s="288" t="s">
        <v>433</v>
      </c>
    </row>
    <row r="85" spans="1:2" ht="10.9" customHeight="1">
      <c r="A85" s="289" t="s">
        <v>257</v>
      </c>
      <c r="B85" s="290" t="s">
        <v>434</v>
      </c>
    </row>
    <row r="86" spans="1:2" ht="10.9" customHeight="1">
      <c r="A86" s="287" t="s">
        <v>180</v>
      </c>
      <c r="B86" s="288" t="s">
        <v>397</v>
      </c>
    </row>
    <row r="87" spans="1:2" ht="10.9" customHeight="1">
      <c r="A87" s="289" t="s">
        <v>244</v>
      </c>
      <c r="B87" s="290" t="s">
        <v>435</v>
      </c>
    </row>
    <row r="88" spans="1:2" ht="10.9" customHeight="1">
      <c r="A88" s="287" t="s">
        <v>111</v>
      </c>
      <c r="B88" s="288" t="s">
        <v>436</v>
      </c>
    </row>
    <row r="89" spans="1:2" ht="10.9" customHeight="1">
      <c r="A89" s="289" t="s">
        <v>118</v>
      </c>
      <c r="B89" s="290" t="s">
        <v>437</v>
      </c>
    </row>
    <row r="90" spans="1:2" ht="10.9" customHeight="1">
      <c r="A90" s="287" t="s">
        <v>172</v>
      </c>
      <c r="B90" s="288" t="s">
        <v>438</v>
      </c>
    </row>
    <row r="91" spans="1:2" ht="10.9" customHeight="1">
      <c r="A91" s="289" t="s">
        <v>107</v>
      </c>
      <c r="B91" s="290" t="s">
        <v>439</v>
      </c>
    </row>
    <row r="92" spans="1:2" ht="10.9" customHeight="1">
      <c r="A92" s="291" t="s">
        <v>79</v>
      </c>
      <c r="B92" s="288" t="s">
        <v>440</v>
      </c>
    </row>
    <row r="93" spans="1:2" ht="10.9" customHeight="1">
      <c r="A93" s="289" t="s">
        <v>152</v>
      </c>
      <c r="B93" s="290" t="s">
        <v>441</v>
      </c>
    </row>
    <row r="94" spans="1:2" ht="10.9" customHeight="1">
      <c r="A94" s="287" t="s">
        <v>207</v>
      </c>
      <c r="B94" s="288"/>
    </row>
    <row r="95" spans="1:2" ht="10.9" customHeight="1">
      <c r="A95" s="289" t="s">
        <v>98</v>
      </c>
      <c r="B95" s="290"/>
    </row>
    <row r="96" spans="1:2" ht="10.9" customHeight="1">
      <c r="A96" s="287" t="s">
        <v>186</v>
      </c>
      <c r="B96" s="288"/>
    </row>
    <row r="97" spans="1:2" ht="10.9" customHeight="1">
      <c r="A97" s="289" t="s">
        <v>169</v>
      </c>
      <c r="B97" s="290"/>
    </row>
    <row r="98" spans="1:2" ht="10.9" customHeight="1">
      <c r="A98" s="287" t="s">
        <v>163</v>
      </c>
      <c r="B98" s="288" t="s">
        <v>442</v>
      </c>
    </row>
    <row r="99" spans="1:2" ht="10.9" customHeight="1">
      <c r="A99" s="289" t="s">
        <v>206</v>
      </c>
      <c r="B99" s="290"/>
    </row>
    <row r="100" spans="1:2" ht="10.9" customHeight="1">
      <c r="A100" s="287" t="s">
        <v>114</v>
      </c>
      <c r="B100" s="288" t="s">
        <v>443</v>
      </c>
    </row>
    <row r="101" spans="1:2" ht="10.9" customHeight="1">
      <c r="A101" s="292" t="s">
        <v>75</v>
      </c>
      <c r="B101" s="290"/>
    </row>
    <row r="102" spans="1:2" ht="10.9" customHeight="1">
      <c r="A102" s="287" t="s">
        <v>249</v>
      </c>
      <c r="B102" s="288" t="s">
        <v>434</v>
      </c>
    </row>
    <row r="103" spans="1:2" ht="10.9" customHeight="1">
      <c r="A103" s="289" t="s">
        <v>100</v>
      </c>
      <c r="B103" s="290" t="s">
        <v>444</v>
      </c>
    </row>
    <row r="104" spans="1:2" ht="10.9" customHeight="1">
      <c r="A104" s="287" t="s">
        <v>158</v>
      </c>
      <c r="B104" s="288" t="s">
        <v>445</v>
      </c>
    </row>
    <row r="105" spans="1:2" ht="10.9" customHeight="1">
      <c r="A105" s="289" t="s">
        <v>166</v>
      </c>
      <c r="B105" s="290" t="s">
        <v>446</v>
      </c>
    </row>
    <row r="106" spans="1:2" ht="10.9" customHeight="1">
      <c r="A106" s="287" t="s">
        <v>230</v>
      </c>
      <c r="B106" s="288" t="s">
        <v>447</v>
      </c>
    </row>
    <row r="107" spans="1:2" ht="10.9" customHeight="1">
      <c r="A107" s="289" t="s">
        <v>181</v>
      </c>
      <c r="B107" s="290"/>
    </row>
    <row r="108" spans="1:2" ht="10.9" customHeight="1">
      <c r="A108" s="287" t="s">
        <v>243</v>
      </c>
      <c r="B108" s="288" t="s">
        <v>397</v>
      </c>
    </row>
    <row r="109" spans="1:2" ht="10.9" customHeight="1">
      <c r="A109" s="289" t="s">
        <v>144</v>
      </c>
      <c r="B109" s="290" t="s">
        <v>448</v>
      </c>
    </row>
    <row r="110" spans="1:2" ht="10.9" customHeight="1">
      <c r="A110" s="287" t="s">
        <v>217</v>
      </c>
      <c r="B110" s="288"/>
    </row>
    <row r="111" spans="1:2" ht="10.9" customHeight="1">
      <c r="A111" s="289" t="s">
        <v>134</v>
      </c>
      <c r="B111" s="290" t="s">
        <v>449</v>
      </c>
    </row>
    <row r="112" spans="1:2" ht="10.9" customHeight="1">
      <c r="A112" s="291" t="s">
        <v>16</v>
      </c>
      <c r="B112" s="288" t="s">
        <v>400</v>
      </c>
    </row>
    <row r="113" spans="1:2" ht="10.9" customHeight="1">
      <c r="A113" s="289" t="s">
        <v>109</v>
      </c>
      <c r="B113" s="290"/>
    </row>
    <row r="114" spans="1:2" ht="10.9" customHeight="1">
      <c r="A114" s="287" t="s">
        <v>255</v>
      </c>
      <c r="B114" s="288"/>
    </row>
    <row r="115" spans="1:2" ht="10.9" customHeight="1">
      <c r="A115" s="289" t="s">
        <v>189</v>
      </c>
      <c r="B115" s="290"/>
    </row>
    <row r="116" spans="1:2" ht="10.9" customHeight="1">
      <c r="A116" s="287" t="s">
        <v>127</v>
      </c>
      <c r="B116" s="288" t="s">
        <v>396</v>
      </c>
    </row>
    <row r="117" spans="1:2" ht="10.9" customHeight="1">
      <c r="A117" s="289" t="s">
        <v>126</v>
      </c>
      <c r="B117" s="290" t="s">
        <v>444</v>
      </c>
    </row>
    <row r="118" spans="1:2" ht="10.9" customHeight="1">
      <c r="A118" s="287" t="s">
        <v>272</v>
      </c>
      <c r="B118" s="288" t="s">
        <v>450</v>
      </c>
    </row>
    <row r="119" spans="1:2" ht="10.9" customHeight="1">
      <c r="A119" s="289" t="s">
        <v>231</v>
      </c>
      <c r="B119" s="290" t="s">
        <v>451</v>
      </c>
    </row>
    <row r="120" spans="1:2" ht="10.9" customHeight="1">
      <c r="A120" s="287" t="s">
        <v>227</v>
      </c>
      <c r="B120" s="288" t="s">
        <v>363</v>
      </c>
    </row>
    <row r="121" spans="1:2" ht="10.9" customHeight="1">
      <c r="A121" s="289" t="s">
        <v>147</v>
      </c>
      <c r="B121" s="290" t="s">
        <v>452</v>
      </c>
    </row>
    <row r="122" spans="1:2" ht="10.9" customHeight="1">
      <c r="A122" s="287" t="s">
        <v>274</v>
      </c>
      <c r="B122" s="288" t="s">
        <v>453</v>
      </c>
    </row>
    <row r="123" spans="1:2" ht="10.9" customHeight="1">
      <c r="A123" s="289" t="s">
        <v>223</v>
      </c>
      <c r="B123" s="290" t="s">
        <v>454</v>
      </c>
    </row>
    <row r="124" spans="1:2" ht="10.9" customHeight="1">
      <c r="A124" s="287" t="s">
        <v>162</v>
      </c>
      <c r="B124" s="288" t="s">
        <v>455</v>
      </c>
    </row>
    <row r="125" spans="1:2" ht="10.9" customHeight="1">
      <c r="A125" s="289" t="s">
        <v>176</v>
      </c>
      <c r="B125" s="290" t="s">
        <v>456</v>
      </c>
    </row>
    <row r="126" spans="1:2" ht="10.9" customHeight="1">
      <c r="A126" s="287" t="s">
        <v>120</v>
      </c>
      <c r="B126" s="288" t="s">
        <v>444</v>
      </c>
    </row>
    <row r="127" spans="1:2" ht="10.9" customHeight="1">
      <c r="A127" s="289" t="s">
        <v>258</v>
      </c>
      <c r="B127" s="290" t="s">
        <v>365</v>
      </c>
    </row>
    <row r="128" spans="1:2" ht="10.9" customHeight="1">
      <c r="A128" s="287" t="s">
        <v>132</v>
      </c>
      <c r="B128" s="288" t="s">
        <v>443</v>
      </c>
    </row>
    <row r="129" spans="1:2" ht="10.9" customHeight="1">
      <c r="A129" s="289" t="s">
        <v>261</v>
      </c>
      <c r="B129" s="290" t="s">
        <v>457</v>
      </c>
    </row>
    <row r="130" spans="1:2" ht="10.9" customHeight="1">
      <c r="A130" s="287" t="s">
        <v>198</v>
      </c>
      <c r="B130" s="288" t="s">
        <v>458</v>
      </c>
    </row>
    <row r="131" spans="1:2" ht="10.9" customHeight="1">
      <c r="A131" s="289" t="s">
        <v>91</v>
      </c>
      <c r="B131" s="290"/>
    </row>
    <row r="132" spans="1:2" ht="10.9" customHeight="1">
      <c r="A132" s="287" t="s">
        <v>93</v>
      </c>
      <c r="B132" s="288"/>
    </row>
    <row r="133" spans="1:2" ht="10.9" customHeight="1">
      <c r="A133" s="289" t="s">
        <v>101</v>
      </c>
      <c r="B133" s="290"/>
    </row>
    <row r="134" spans="1:2" ht="10.9" customHeight="1">
      <c r="A134" s="287" t="s">
        <v>187</v>
      </c>
      <c r="B134" s="288"/>
    </row>
    <row r="135" spans="1:2" ht="10.9" customHeight="1">
      <c r="A135" s="289" t="s">
        <v>209</v>
      </c>
      <c r="B135" s="290"/>
    </row>
    <row r="136" spans="1:2" ht="10.9" customHeight="1">
      <c r="A136" s="287" t="s">
        <v>96</v>
      </c>
      <c r="B136" s="288" t="s">
        <v>459</v>
      </c>
    </row>
    <row r="137" spans="1:2" ht="10.9" customHeight="1">
      <c r="A137" s="289" t="s">
        <v>97</v>
      </c>
      <c r="B137" s="290" t="s">
        <v>460</v>
      </c>
    </row>
    <row r="138" spans="1:2" ht="10.9" customHeight="1">
      <c r="A138" s="287" t="s">
        <v>208</v>
      </c>
      <c r="B138" s="288"/>
    </row>
    <row r="139" spans="1:2" ht="10.9" customHeight="1">
      <c r="A139" s="289" t="s">
        <v>212</v>
      </c>
      <c r="B139" s="290"/>
    </row>
    <row r="140" spans="1:2" ht="10.9" customHeight="1">
      <c r="A140" s="287" t="s">
        <v>191</v>
      </c>
      <c r="B140" s="288" t="s">
        <v>415</v>
      </c>
    </row>
    <row r="141" spans="1:2" ht="10.9" customHeight="1">
      <c r="A141" s="289" t="s">
        <v>161</v>
      </c>
      <c r="B141" s="290" t="s">
        <v>445</v>
      </c>
    </row>
    <row r="142" spans="1:2" ht="10.9" customHeight="1">
      <c r="A142" s="287" t="s">
        <v>266</v>
      </c>
      <c r="B142" s="288" t="s">
        <v>461</v>
      </c>
    </row>
    <row r="143" spans="1:2" ht="10.9" customHeight="1">
      <c r="A143" s="289" t="s">
        <v>202</v>
      </c>
      <c r="B143" s="290" t="s">
        <v>458</v>
      </c>
    </row>
    <row r="144" spans="1:2" ht="10.9" customHeight="1">
      <c r="A144" s="287" t="s">
        <v>113</v>
      </c>
      <c r="B144" s="288" t="s">
        <v>462</v>
      </c>
    </row>
    <row r="145" spans="1:2" ht="10.9" customHeight="1">
      <c r="A145" s="292" t="s">
        <v>88</v>
      </c>
      <c r="B145" s="290"/>
    </row>
    <row r="146" spans="1:2" ht="10.9" customHeight="1">
      <c r="A146" s="287" t="s">
        <v>165</v>
      </c>
      <c r="B146" s="288" t="s">
        <v>445</v>
      </c>
    </row>
    <row r="147" spans="1:2" ht="10.9" customHeight="1">
      <c r="A147" s="292" t="s">
        <v>87</v>
      </c>
      <c r="B147" s="290" t="s">
        <v>363</v>
      </c>
    </row>
    <row r="148" spans="1:2" ht="10.9" customHeight="1">
      <c r="A148" s="287" t="s">
        <v>122</v>
      </c>
      <c r="B148" s="288" t="s">
        <v>434</v>
      </c>
    </row>
    <row r="149" spans="1:2" ht="10.9" customHeight="1">
      <c r="A149" s="292" t="s">
        <v>76</v>
      </c>
      <c r="B149" s="290"/>
    </row>
    <row r="150" spans="1:2" ht="10.9" customHeight="1">
      <c r="A150" s="291" t="s">
        <v>20</v>
      </c>
      <c r="B150" s="288"/>
    </row>
    <row r="151" spans="1:2" ht="10.9" customHeight="1">
      <c r="A151" s="289" t="s">
        <v>463</v>
      </c>
      <c r="B151" s="290"/>
    </row>
    <row r="152" spans="1:2" ht="10.9" customHeight="1">
      <c r="A152" s="287" t="s">
        <v>106</v>
      </c>
      <c r="B152" s="288" t="s">
        <v>464</v>
      </c>
    </row>
    <row r="153" spans="1:2" ht="10.9" customHeight="1">
      <c r="A153" s="289" t="s">
        <v>213</v>
      </c>
      <c r="B153" s="290"/>
    </row>
    <row r="154" spans="1:2" ht="10.9" customHeight="1">
      <c r="A154" s="287" t="s">
        <v>254</v>
      </c>
      <c r="B154" s="288" t="s">
        <v>365</v>
      </c>
    </row>
    <row r="155" spans="1:2" ht="10.9" customHeight="1">
      <c r="A155" s="289" t="s">
        <v>135</v>
      </c>
      <c r="B155" s="290" t="s">
        <v>465</v>
      </c>
    </row>
    <row r="156" spans="1:2" ht="10.9" customHeight="1">
      <c r="A156" s="287" t="s">
        <v>123</v>
      </c>
      <c r="B156" s="288" t="s">
        <v>466</v>
      </c>
    </row>
    <row r="157" spans="1:2" ht="10.9" customHeight="1">
      <c r="A157" s="289" t="s">
        <v>239</v>
      </c>
      <c r="B157" s="290" t="s">
        <v>467</v>
      </c>
    </row>
    <row r="158" spans="1:2" ht="10.9" customHeight="1">
      <c r="A158" s="287" t="s">
        <v>218</v>
      </c>
      <c r="B158" s="288" t="s">
        <v>468</v>
      </c>
    </row>
    <row r="159" spans="1:2" ht="10.9" customHeight="1">
      <c r="A159" s="292" t="s">
        <v>21</v>
      </c>
      <c r="B159" s="290" t="s">
        <v>401</v>
      </c>
    </row>
    <row r="160" spans="1:2" ht="10.9" customHeight="1">
      <c r="A160" s="291" t="s">
        <v>72</v>
      </c>
      <c r="B160" s="288" t="s">
        <v>406</v>
      </c>
    </row>
    <row r="161" spans="1:2" ht="10.9" customHeight="1">
      <c r="A161" s="289" t="s">
        <v>193</v>
      </c>
      <c r="B161" s="290"/>
    </row>
    <row r="162" spans="1:2" ht="10.9" customHeight="1">
      <c r="A162" s="287" t="s">
        <v>247</v>
      </c>
      <c r="B162" s="288" t="s">
        <v>399</v>
      </c>
    </row>
    <row r="163" spans="1:2" ht="10.9" customHeight="1">
      <c r="A163" s="289" t="s">
        <v>238</v>
      </c>
      <c r="B163" s="290" t="s">
        <v>469</v>
      </c>
    </row>
    <row r="164" spans="1:2" ht="10.9" customHeight="1">
      <c r="A164" s="287" t="s">
        <v>157</v>
      </c>
      <c r="B164" s="288" t="s">
        <v>393</v>
      </c>
    </row>
    <row r="165" spans="1:2" ht="10.9" customHeight="1">
      <c r="A165" s="289" t="s">
        <v>267</v>
      </c>
      <c r="B165" s="290" t="s">
        <v>470</v>
      </c>
    </row>
    <row r="166" spans="1:2" ht="10.9" customHeight="1">
      <c r="A166" s="287" t="s">
        <v>153</v>
      </c>
      <c r="B166" s="288" t="s">
        <v>471</v>
      </c>
    </row>
    <row r="167" spans="1:2" ht="10.9" customHeight="1">
      <c r="A167" s="289" t="s">
        <v>228</v>
      </c>
      <c r="B167" s="290"/>
    </row>
    <row r="168" spans="1:2" ht="10.9" customHeight="1">
      <c r="A168" s="287" t="s">
        <v>140</v>
      </c>
      <c r="B168" s="288" t="s">
        <v>472</v>
      </c>
    </row>
    <row r="169" spans="1:2" ht="10.9" customHeight="1">
      <c r="A169" s="289" t="s">
        <v>240</v>
      </c>
      <c r="B169" s="290" t="s">
        <v>473</v>
      </c>
    </row>
    <row r="170" spans="1:2" ht="10.9" customHeight="1">
      <c r="A170" s="287" t="s">
        <v>269</v>
      </c>
      <c r="B170" s="288" t="s">
        <v>474</v>
      </c>
    </row>
    <row r="171" spans="1:2" ht="10.9" customHeight="1">
      <c r="A171" s="289" t="s">
        <v>160</v>
      </c>
      <c r="B171" s="290" t="s">
        <v>475</v>
      </c>
    </row>
    <row r="172" spans="1:2" ht="10.9" customHeight="1">
      <c r="A172" s="287" t="s">
        <v>105</v>
      </c>
      <c r="B172" s="288" t="s">
        <v>415</v>
      </c>
    </row>
    <row r="173" spans="1:2" ht="10.9" customHeight="1">
      <c r="A173" s="292" t="s">
        <v>82</v>
      </c>
      <c r="B173" s="290" t="s">
        <v>476</v>
      </c>
    </row>
    <row r="174" spans="1:2" ht="10.9" customHeight="1">
      <c r="A174" s="291" t="s">
        <v>78</v>
      </c>
      <c r="B174" s="288" t="s">
        <v>477</v>
      </c>
    </row>
    <row r="175" spans="1:2" ht="10.9" customHeight="1">
      <c r="A175" s="292" t="s">
        <v>77</v>
      </c>
      <c r="B175" s="290"/>
    </row>
    <row r="176" spans="1:2" ht="10.9" customHeight="1">
      <c r="A176" s="291" t="s">
        <v>73</v>
      </c>
      <c r="B176" s="288" t="s">
        <v>1279</v>
      </c>
    </row>
    <row r="177" spans="1:2" ht="10.9" customHeight="1">
      <c r="A177" s="289" t="s">
        <v>182</v>
      </c>
      <c r="B177" s="290"/>
    </row>
    <row r="178" spans="1:2" ht="10.9" customHeight="1">
      <c r="A178" s="287" t="s">
        <v>204</v>
      </c>
      <c r="B178" s="288" t="s">
        <v>478</v>
      </c>
    </row>
    <row r="179" spans="1:2" ht="10.9" customHeight="1">
      <c r="A179" s="289" t="s">
        <v>271</v>
      </c>
      <c r="B179" s="290" t="s">
        <v>426</v>
      </c>
    </row>
    <row r="180" spans="1:2" ht="10.9" customHeight="1">
      <c r="A180" s="287" t="s">
        <v>136</v>
      </c>
      <c r="B180" s="288" t="s">
        <v>479</v>
      </c>
    </row>
    <row r="181" spans="1:2" ht="10.9" customHeight="1">
      <c r="A181" s="289" t="s">
        <v>99</v>
      </c>
      <c r="B181" s="290" t="s">
        <v>480</v>
      </c>
    </row>
    <row r="182" spans="1:2" ht="10.9" customHeight="1">
      <c r="A182" s="287" t="s">
        <v>236</v>
      </c>
      <c r="B182" s="288" t="s">
        <v>481</v>
      </c>
    </row>
    <row r="183" spans="1:2" ht="10.9" customHeight="1">
      <c r="A183" s="289" t="s">
        <v>242</v>
      </c>
      <c r="B183" s="290" t="s">
        <v>363</v>
      </c>
    </row>
    <row r="184" spans="1:2" ht="10.9" customHeight="1">
      <c r="A184" s="291" t="s">
        <v>86</v>
      </c>
      <c r="B184" s="288"/>
    </row>
    <row r="185" spans="1:2" ht="10.9" customHeight="1">
      <c r="A185" s="289" t="s">
        <v>200</v>
      </c>
      <c r="B185" s="290"/>
    </row>
    <row r="186" spans="1:2" ht="10.9" customHeight="1">
      <c r="A186" s="287" t="s">
        <v>256</v>
      </c>
      <c r="B186" s="288"/>
    </row>
    <row r="187" spans="1:2" ht="10.9" customHeight="1">
      <c r="A187" s="289" t="s">
        <v>131</v>
      </c>
      <c r="B187" s="290" t="s">
        <v>482</v>
      </c>
    </row>
    <row r="188" spans="1:2" ht="10.9" customHeight="1">
      <c r="A188" s="287" t="s">
        <v>1281</v>
      </c>
      <c r="B188" s="293" t="s">
        <v>483</v>
      </c>
    </row>
    <row r="189" spans="1:2" ht="10.9" customHeight="1">
      <c r="A189" s="289" t="s">
        <v>103</v>
      </c>
      <c r="B189" s="290" t="s">
        <v>459</v>
      </c>
    </row>
    <row r="190" spans="1:2" ht="10.9" customHeight="1">
      <c r="A190" s="291" t="s">
        <v>74</v>
      </c>
      <c r="B190" s="288" t="s">
        <v>1280</v>
      </c>
    </row>
    <row r="191" spans="1:2" ht="10.9" customHeight="1">
      <c r="A191" s="289" t="s">
        <v>115</v>
      </c>
      <c r="B191" s="290" t="s">
        <v>484</v>
      </c>
    </row>
    <row r="192" spans="1:2" ht="10.9" customHeight="1">
      <c r="A192" s="287" t="s">
        <v>214</v>
      </c>
      <c r="B192" s="288" t="s">
        <v>424</v>
      </c>
    </row>
    <row r="193" spans="1:2" ht="10.9" customHeight="1">
      <c r="A193" s="289" t="s">
        <v>234</v>
      </c>
      <c r="B193" s="290" t="s">
        <v>485</v>
      </c>
    </row>
    <row r="194" spans="1:2" ht="10.9" customHeight="1">
      <c r="A194" s="287" t="s">
        <v>156</v>
      </c>
      <c r="B194" s="288"/>
    </row>
    <row r="195" spans="1:2" ht="10.9" customHeight="1">
      <c r="A195" s="289" t="s">
        <v>168</v>
      </c>
      <c r="B195" s="290"/>
    </row>
    <row r="196" spans="1:2" ht="10.9" customHeight="1">
      <c r="A196" s="287" t="s">
        <v>141</v>
      </c>
      <c r="B196" s="288" t="s">
        <v>486</v>
      </c>
    </row>
    <row r="197" spans="1:2" ht="10.9" customHeight="1">
      <c r="A197" s="292" t="s">
        <v>84</v>
      </c>
      <c r="B197" s="290" t="s">
        <v>424</v>
      </c>
    </row>
    <row r="198" spans="1:2" ht="10.9" customHeight="1">
      <c r="A198" s="287" t="s">
        <v>264</v>
      </c>
      <c r="B198" s="288" t="s">
        <v>487</v>
      </c>
    </row>
    <row r="199" spans="1:2" ht="10.9" customHeight="1">
      <c r="A199" s="289" t="s">
        <v>117</v>
      </c>
      <c r="B199" s="290" t="s">
        <v>488</v>
      </c>
    </row>
    <row r="200" spans="1:2" ht="10.9" customHeight="1">
      <c r="A200" s="287" t="s">
        <v>174</v>
      </c>
      <c r="B200" s="288" t="s">
        <v>489</v>
      </c>
    </row>
    <row r="201" spans="1:2" ht="10.9" customHeight="1">
      <c r="A201" s="289" t="s">
        <v>188</v>
      </c>
      <c r="B201" s="290" t="s">
        <v>440</v>
      </c>
    </row>
    <row r="202" spans="1:2" ht="10.9" customHeight="1">
      <c r="A202" s="287" t="s">
        <v>110</v>
      </c>
      <c r="B202" s="288" t="s">
        <v>490</v>
      </c>
    </row>
    <row r="203" spans="1:2" ht="10.9" customHeight="1">
      <c r="A203" s="292" t="s">
        <v>19</v>
      </c>
      <c r="B203" s="290" t="s">
        <v>422</v>
      </c>
    </row>
    <row r="204" spans="1:2" ht="10.9" customHeight="1">
      <c r="A204" s="291" t="s">
        <v>15</v>
      </c>
      <c r="B204" s="288"/>
    </row>
    <row r="205" spans="1:2" ht="10.9" customHeight="1">
      <c r="A205" s="289" t="s">
        <v>164</v>
      </c>
      <c r="B205" s="290" t="s">
        <v>491</v>
      </c>
    </row>
    <row r="206" spans="1:2" ht="10.9" customHeight="1">
      <c r="A206" s="287" t="s">
        <v>143</v>
      </c>
      <c r="B206" s="288" t="s">
        <v>492</v>
      </c>
    </row>
    <row r="207" spans="1:2" ht="10.9" customHeight="1">
      <c r="A207" s="289" t="s">
        <v>246</v>
      </c>
      <c r="B207" s="290" t="s">
        <v>422</v>
      </c>
    </row>
    <row r="208" spans="1:2" ht="10.9" customHeight="1">
      <c r="A208" s="287" t="s">
        <v>250</v>
      </c>
      <c r="B208" s="288" t="s">
        <v>493</v>
      </c>
    </row>
    <row r="209" spans="1:2" ht="10.9" customHeight="1">
      <c r="A209" s="289" t="s">
        <v>210</v>
      </c>
      <c r="B209" s="290"/>
    </row>
    <row r="210" spans="1:2" ht="10.9" customHeight="1">
      <c r="A210" s="287" t="s">
        <v>137</v>
      </c>
      <c r="B210" s="288" t="s">
        <v>494</v>
      </c>
    </row>
    <row r="211" spans="1:2" ht="10.9" customHeight="1">
      <c r="A211" s="289" t="s">
        <v>159</v>
      </c>
      <c r="B211" s="290" t="s">
        <v>393</v>
      </c>
    </row>
    <row r="212" spans="1:2" ht="10.9" customHeight="1">
      <c r="A212" s="287" t="s">
        <v>142</v>
      </c>
      <c r="B212" s="288" t="s">
        <v>495</v>
      </c>
    </row>
    <row r="213" spans="1:2" ht="10.9" customHeight="1">
      <c r="A213" s="289" t="s">
        <v>251</v>
      </c>
      <c r="B213" s="290" t="s">
        <v>496</v>
      </c>
    </row>
    <row r="214" spans="1:2" ht="10.9" customHeight="1" thickBot="1">
      <c r="A214" s="295" t="s">
        <v>83</v>
      </c>
      <c r="B214" s="296"/>
    </row>
  </sheetData>
  <sheetProtection sheet="1" objects="1" scenarios="1" selectLockedCells="1" selectUnlockedCells="1"/>
  <mergeCells count="1">
    <mergeCell ref="D1:E1"/>
  </mergeCells>
  <pageMargins left="0.70000000000000007" right="0.70000000000000007" top="1.0457000000000001" bottom="1.0457000000000001" header="0.75000000000000011" footer="0.75000000000000011"/>
  <pageSetup paperSize="0" fitToWidth="0" fitToHeight="0" pageOrder="overThenDown" orientation="portrait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39"/>
  <sheetViews>
    <sheetView zoomScale="175" zoomScaleNormal="175" workbookViewId="0"/>
  </sheetViews>
  <sheetFormatPr defaultRowHeight="10.9" customHeight="1"/>
  <cols>
    <col min="1" max="1" width="10.7109375" style="1" customWidth="1"/>
    <col min="2" max="14" width="8.7109375" style="1" customWidth="1"/>
    <col min="15" max="15" width="6.85546875" customWidth="1"/>
    <col min="16" max="233" width="6.5703125" customWidth="1"/>
    <col min="234" max="254" width="12.28515625" customWidth="1"/>
  </cols>
  <sheetData>
    <row r="1" spans="1:12" ht="12.95" customHeight="1">
      <c r="A1" s="285" t="s">
        <v>497</v>
      </c>
      <c r="B1" s="301" t="s">
        <v>4</v>
      </c>
      <c r="C1" s="302" t="s">
        <v>5</v>
      </c>
      <c r="D1" s="302" t="s">
        <v>6</v>
      </c>
      <c r="E1" s="303" t="s">
        <v>498</v>
      </c>
      <c r="F1" s="301" t="s">
        <v>8</v>
      </c>
      <c r="G1" s="303" t="s">
        <v>9</v>
      </c>
      <c r="H1" s="304" t="s">
        <v>10</v>
      </c>
      <c r="I1" s="301" t="s">
        <v>11</v>
      </c>
      <c r="J1" s="303" t="s">
        <v>12</v>
      </c>
      <c r="K1" s="301" t="s">
        <v>499</v>
      </c>
      <c r="L1" s="286" t="s">
        <v>500</v>
      </c>
    </row>
    <row r="2" spans="1:12" ht="10.9" customHeight="1">
      <c r="A2" s="291" t="s">
        <v>2</v>
      </c>
      <c r="B2" s="20">
        <v>30</v>
      </c>
      <c r="C2" s="21">
        <v>42</v>
      </c>
      <c r="D2" s="21">
        <v>30</v>
      </c>
      <c r="E2" s="22">
        <v>30</v>
      </c>
      <c r="F2" s="20">
        <v>60</v>
      </c>
      <c r="G2" s="22">
        <v>45</v>
      </c>
      <c r="H2" s="23">
        <v>32</v>
      </c>
      <c r="I2" s="20">
        <v>30</v>
      </c>
      <c r="J2" s="22">
        <v>36</v>
      </c>
      <c r="K2" s="20">
        <v>6</v>
      </c>
      <c r="L2" s="305">
        <v>12</v>
      </c>
    </row>
    <row r="3" spans="1:12" ht="10.9" customHeight="1">
      <c r="A3" s="292" t="s">
        <v>59</v>
      </c>
      <c r="B3" s="24">
        <v>36</v>
      </c>
      <c r="C3" s="27">
        <v>36</v>
      </c>
      <c r="D3" s="27">
        <v>36</v>
      </c>
      <c r="E3" s="25">
        <v>36</v>
      </c>
      <c r="F3" s="24">
        <v>120</v>
      </c>
      <c r="G3" s="25">
        <v>30</v>
      </c>
      <c r="H3" s="26">
        <v>32</v>
      </c>
      <c r="I3" s="24">
        <v>42</v>
      </c>
      <c r="J3" s="25">
        <v>30</v>
      </c>
      <c r="K3" s="24">
        <v>12</v>
      </c>
      <c r="L3" s="306">
        <v>6</v>
      </c>
    </row>
    <row r="4" spans="1:12" ht="10.9" customHeight="1">
      <c r="A4" s="291" t="s">
        <v>60</v>
      </c>
      <c r="B4" s="20">
        <v>36</v>
      </c>
      <c r="C4" s="21">
        <v>30</v>
      </c>
      <c r="D4" s="21">
        <v>42</v>
      </c>
      <c r="E4" s="22">
        <v>36</v>
      </c>
      <c r="F4" s="20">
        <v>66</v>
      </c>
      <c r="G4" s="22">
        <v>0</v>
      </c>
      <c r="H4" s="23">
        <v>32</v>
      </c>
      <c r="I4" s="20">
        <v>36</v>
      </c>
      <c r="J4" s="22">
        <v>30</v>
      </c>
      <c r="K4" s="20">
        <v>24</v>
      </c>
      <c r="L4" s="305">
        <v>12</v>
      </c>
    </row>
    <row r="5" spans="1:12" ht="10.9" customHeight="1">
      <c r="A5" s="292" t="s">
        <v>61</v>
      </c>
      <c r="B5" s="24">
        <v>36</v>
      </c>
      <c r="C5" s="27">
        <v>30</v>
      </c>
      <c r="D5" s="27">
        <v>30</v>
      </c>
      <c r="E5" s="25">
        <v>24</v>
      </c>
      <c r="F5" s="24">
        <v>72</v>
      </c>
      <c r="G5" s="25">
        <v>0</v>
      </c>
      <c r="H5" s="26">
        <v>64</v>
      </c>
      <c r="I5" s="24">
        <v>42</v>
      </c>
      <c r="J5" s="25">
        <v>24</v>
      </c>
      <c r="K5" s="24">
        <v>6</v>
      </c>
      <c r="L5" s="306">
        <v>6</v>
      </c>
    </row>
    <row r="6" spans="1:12" ht="10.9" customHeight="1">
      <c r="A6" s="291" t="s">
        <v>62</v>
      </c>
      <c r="B6" s="20">
        <v>48</v>
      </c>
      <c r="C6" s="21">
        <v>24</v>
      </c>
      <c r="D6" s="21">
        <v>36</v>
      </c>
      <c r="E6" s="22">
        <v>42</v>
      </c>
      <c r="F6" s="20">
        <v>144</v>
      </c>
      <c r="G6" s="22">
        <v>0</v>
      </c>
      <c r="H6" s="23">
        <v>64</v>
      </c>
      <c r="I6" s="20">
        <v>42</v>
      </c>
      <c r="J6" s="22">
        <v>42</v>
      </c>
      <c r="K6" s="20">
        <v>18</v>
      </c>
      <c r="L6" s="305">
        <v>12</v>
      </c>
    </row>
    <row r="7" spans="1:12" ht="10.9" customHeight="1">
      <c r="A7" s="292" t="s">
        <v>63</v>
      </c>
      <c r="B7" s="24">
        <v>42</v>
      </c>
      <c r="C7" s="27">
        <v>24</v>
      </c>
      <c r="D7" s="27">
        <v>30</v>
      </c>
      <c r="E7" s="25">
        <v>36</v>
      </c>
      <c r="F7" s="24">
        <v>132</v>
      </c>
      <c r="G7" s="25">
        <v>0</v>
      </c>
      <c r="H7" s="26">
        <v>64</v>
      </c>
      <c r="I7" s="24">
        <v>42</v>
      </c>
      <c r="J7" s="25">
        <v>36</v>
      </c>
      <c r="K7" s="24">
        <v>18</v>
      </c>
      <c r="L7" s="306">
        <v>6</v>
      </c>
    </row>
    <row r="8" spans="1:12" ht="10.9" customHeight="1">
      <c r="A8" s="291" t="s">
        <v>65</v>
      </c>
      <c r="B8" s="20">
        <v>42</v>
      </c>
      <c r="C8" s="21">
        <v>36</v>
      </c>
      <c r="D8" s="21">
        <v>36</v>
      </c>
      <c r="E8" s="22">
        <v>24</v>
      </c>
      <c r="F8" s="20">
        <v>12</v>
      </c>
      <c r="G8" s="22">
        <v>0</v>
      </c>
      <c r="H8" s="23">
        <v>128</v>
      </c>
      <c r="I8" s="20">
        <v>30</v>
      </c>
      <c r="J8" s="22">
        <v>24</v>
      </c>
      <c r="K8" s="20">
        <v>24</v>
      </c>
      <c r="L8" s="305">
        <v>18</v>
      </c>
    </row>
    <row r="9" spans="1:12" ht="10.9" customHeight="1">
      <c r="A9" s="292" t="s">
        <v>64</v>
      </c>
      <c r="B9" s="24">
        <v>42</v>
      </c>
      <c r="C9" s="27">
        <v>36</v>
      </c>
      <c r="D9" s="27">
        <v>42</v>
      </c>
      <c r="E9" s="25">
        <v>36</v>
      </c>
      <c r="F9" s="24">
        <v>24</v>
      </c>
      <c r="G9" s="25">
        <v>0</v>
      </c>
      <c r="H9" s="26">
        <v>24</v>
      </c>
      <c r="I9" s="24">
        <v>30</v>
      </c>
      <c r="J9" s="25">
        <v>30</v>
      </c>
      <c r="K9" s="24">
        <v>24</v>
      </c>
      <c r="L9" s="306">
        <v>24</v>
      </c>
    </row>
    <row r="10" spans="1:12" ht="10.9" customHeight="1">
      <c r="A10" s="291" t="s">
        <v>66</v>
      </c>
      <c r="B10" s="20">
        <v>36</v>
      </c>
      <c r="C10" s="21">
        <v>30</v>
      </c>
      <c r="D10" s="21">
        <v>30</v>
      </c>
      <c r="E10" s="22">
        <v>24</v>
      </c>
      <c r="F10" s="20">
        <v>60</v>
      </c>
      <c r="G10" s="22">
        <v>0</v>
      </c>
      <c r="H10" s="23">
        <v>24</v>
      </c>
      <c r="I10" s="20">
        <v>36</v>
      </c>
      <c r="J10" s="22">
        <v>24</v>
      </c>
      <c r="K10" s="20">
        <v>12</v>
      </c>
      <c r="L10" s="305">
        <v>12</v>
      </c>
    </row>
    <row r="11" spans="1:12" ht="10.9" customHeight="1">
      <c r="A11" s="292" t="s">
        <v>67</v>
      </c>
      <c r="B11" s="24">
        <v>30</v>
      </c>
      <c r="C11" s="27">
        <v>36</v>
      </c>
      <c r="D11" s="27">
        <v>36</v>
      </c>
      <c r="E11" s="25">
        <v>30</v>
      </c>
      <c r="F11" s="24">
        <v>156</v>
      </c>
      <c r="G11" s="25">
        <v>0</v>
      </c>
      <c r="H11" s="26">
        <v>24</v>
      </c>
      <c r="I11" s="24">
        <v>36</v>
      </c>
      <c r="J11" s="25">
        <v>36</v>
      </c>
      <c r="K11" s="24">
        <v>18</v>
      </c>
      <c r="L11" s="306">
        <v>18</v>
      </c>
    </row>
    <row r="12" spans="1:12" ht="10.9" customHeight="1">
      <c r="A12" s="291" t="s">
        <v>68</v>
      </c>
      <c r="B12" s="20">
        <v>24</v>
      </c>
      <c r="C12" s="21">
        <v>48</v>
      </c>
      <c r="D12" s="21">
        <v>24</v>
      </c>
      <c r="E12" s="22">
        <v>42</v>
      </c>
      <c r="F12" s="20">
        <v>18</v>
      </c>
      <c r="G12" s="22">
        <v>60</v>
      </c>
      <c r="H12" s="23">
        <v>16</v>
      </c>
      <c r="I12" s="20">
        <v>24</v>
      </c>
      <c r="J12" s="22">
        <v>36</v>
      </c>
      <c r="K12" s="20">
        <v>6</v>
      </c>
      <c r="L12" s="305">
        <v>18</v>
      </c>
    </row>
    <row r="13" spans="1:12" ht="10.9" customHeight="1">
      <c r="A13" s="292" t="s">
        <v>69</v>
      </c>
      <c r="B13" s="24">
        <v>24</v>
      </c>
      <c r="C13" s="27">
        <v>42</v>
      </c>
      <c r="D13" s="27">
        <v>36</v>
      </c>
      <c r="E13" s="25">
        <v>30</v>
      </c>
      <c r="F13" s="24">
        <v>6</v>
      </c>
      <c r="G13" s="25">
        <v>45</v>
      </c>
      <c r="H13" s="26">
        <v>16</v>
      </c>
      <c r="I13" s="24">
        <v>24</v>
      </c>
      <c r="J13" s="25">
        <v>30</v>
      </c>
      <c r="K13" s="24">
        <v>12</v>
      </c>
      <c r="L13" s="306">
        <v>18</v>
      </c>
    </row>
    <row r="14" spans="1:12" ht="10.9" customHeight="1">
      <c r="A14" s="291" t="s">
        <v>70</v>
      </c>
      <c r="B14" s="20">
        <v>30</v>
      </c>
      <c r="C14" s="21">
        <v>30</v>
      </c>
      <c r="D14" s="21">
        <v>30</v>
      </c>
      <c r="E14" s="22">
        <v>30</v>
      </c>
      <c r="F14" s="20">
        <v>0</v>
      </c>
      <c r="G14" s="22">
        <v>0</v>
      </c>
      <c r="H14" s="23">
        <v>16</v>
      </c>
      <c r="I14" s="20">
        <v>24</v>
      </c>
      <c r="J14" s="22">
        <v>24</v>
      </c>
      <c r="K14" s="20">
        <v>24</v>
      </c>
      <c r="L14" s="305">
        <v>24</v>
      </c>
    </row>
    <row r="15" spans="1:12" ht="10.9" customHeight="1" thickBot="1">
      <c r="A15" s="299" t="s">
        <v>71</v>
      </c>
      <c r="B15" s="307">
        <v>90</v>
      </c>
      <c r="C15" s="308">
        <v>0</v>
      </c>
      <c r="D15" s="308">
        <v>24</v>
      </c>
      <c r="E15" s="309">
        <v>90</v>
      </c>
      <c r="F15" s="307">
        <v>255</v>
      </c>
      <c r="G15" s="309">
        <v>0</v>
      </c>
      <c r="H15" s="310">
        <v>128</v>
      </c>
      <c r="I15" s="307">
        <v>60</v>
      </c>
      <c r="J15" s="309">
        <v>60</v>
      </c>
      <c r="K15" s="307">
        <v>6</v>
      </c>
      <c r="L15" s="311">
        <v>6</v>
      </c>
    </row>
    <row r="16" spans="1:12" ht="7.15" customHeight="1" thickBot="1"/>
    <row r="17" spans="1:14" ht="12.95" customHeight="1">
      <c r="A17" s="285" t="s">
        <v>24</v>
      </c>
      <c r="B17" s="301" t="s">
        <v>4</v>
      </c>
      <c r="C17" s="302" t="s">
        <v>5</v>
      </c>
      <c r="D17" s="302" t="s">
        <v>6</v>
      </c>
      <c r="E17" s="303" t="s">
        <v>498</v>
      </c>
      <c r="F17" s="301" t="s">
        <v>8</v>
      </c>
      <c r="G17" s="303" t="s">
        <v>9</v>
      </c>
      <c r="H17" s="304" t="s">
        <v>10</v>
      </c>
      <c r="I17" s="301" t="s">
        <v>501</v>
      </c>
      <c r="J17" s="303" t="s">
        <v>502</v>
      </c>
      <c r="K17" s="301" t="s">
        <v>499</v>
      </c>
      <c r="L17" s="303" t="s">
        <v>500</v>
      </c>
      <c r="M17" s="301" t="s">
        <v>503</v>
      </c>
      <c r="N17" s="286" t="s">
        <v>504</v>
      </c>
    </row>
    <row r="18" spans="1:14" ht="10.9" customHeight="1">
      <c r="A18" s="287" t="s">
        <v>25</v>
      </c>
      <c r="B18" s="32"/>
      <c r="C18" s="312"/>
      <c r="D18" s="312"/>
      <c r="E18" s="33"/>
      <c r="F18" s="34"/>
      <c r="G18" s="35"/>
      <c r="H18" s="23"/>
      <c r="I18" s="36"/>
      <c r="J18" s="37"/>
      <c r="K18" s="38"/>
      <c r="L18" s="39"/>
      <c r="M18" s="38"/>
      <c r="N18" s="313"/>
    </row>
    <row r="19" spans="1:14" ht="10.9" customHeight="1">
      <c r="A19" s="289" t="s">
        <v>91</v>
      </c>
      <c r="B19" s="40"/>
      <c r="C19" s="314"/>
      <c r="D19" s="314"/>
      <c r="E19" s="41"/>
      <c r="F19" s="42"/>
      <c r="G19" s="43"/>
      <c r="H19" s="44">
        <v>75</v>
      </c>
      <c r="I19" s="45"/>
      <c r="J19" s="46"/>
      <c r="K19" s="24">
        <v>10</v>
      </c>
      <c r="L19" s="25"/>
      <c r="M19" s="24"/>
      <c r="N19" s="306"/>
    </row>
    <row r="20" spans="1:14" ht="10.9" customHeight="1">
      <c r="A20" s="287" t="s">
        <v>98</v>
      </c>
      <c r="B20" s="32"/>
      <c r="C20" s="312"/>
      <c r="D20" s="312">
        <v>2</v>
      </c>
      <c r="E20" s="33"/>
      <c r="F20" s="34"/>
      <c r="G20" s="35"/>
      <c r="H20" s="23">
        <v>100</v>
      </c>
      <c r="I20" s="47"/>
      <c r="J20" s="37"/>
      <c r="K20" s="20">
        <v>10</v>
      </c>
      <c r="L20" s="22"/>
      <c r="M20" s="20"/>
      <c r="N20" s="305"/>
    </row>
    <row r="21" spans="1:14" ht="10.9" customHeight="1">
      <c r="A21" s="289" t="s">
        <v>105</v>
      </c>
      <c r="B21" s="48">
        <v>3</v>
      </c>
      <c r="C21" s="314"/>
      <c r="D21" s="314">
        <v>3</v>
      </c>
      <c r="E21" s="41"/>
      <c r="F21" s="49"/>
      <c r="G21" s="50"/>
      <c r="H21" s="26">
        <v>150</v>
      </c>
      <c r="I21" s="51"/>
      <c r="J21" s="46"/>
      <c r="K21" s="24">
        <v>10</v>
      </c>
      <c r="L21" s="25"/>
      <c r="M21" s="52"/>
      <c r="N21" s="306"/>
    </row>
    <row r="22" spans="1:14" ht="10.9" customHeight="1">
      <c r="A22" s="287" t="s">
        <v>112</v>
      </c>
      <c r="B22" s="53">
        <v>3</v>
      </c>
      <c r="C22" s="312">
        <v>3</v>
      </c>
      <c r="D22" s="312"/>
      <c r="E22" s="33"/>
      <c r="F22" s="34"/>
      <c r="G22" s="35"/>
      <c r="H22" s="23">
        <v>125</v>
      </c>
      <c r="I22" s="47"/>
      <c r="J22" s="37"/>
      <c r="K22" s="20"/>
      <c r="L22" s="22">
        <v>10</v>
      </c>
      <c r="M22" s="20">
        <v>1</v>
      </c>
      <c r="N22" s="305"/>
    </row>
    <row r="23" spans="1:14" ht="10.9" customHeight="1">
      <c r="A23" s="289" t="s">
        <v>118</v>
      </c>
      <c r="B23" s="40"/>
      <c r="C23" s="314">
        <v>3</v>
      </c>
      <c r="D23" s="314"/>
      <c r="E23" s="41">
        <v>3</v>
      </c>
      <c r="F23" s="49"/>
      <c r="G23" s="50"/>
      <c r="H23" s="26">
        <v>125</v>
      </c>
      <c r="I23" s="45"/>
      <c r="J23" s="46"/>
      <c r="K23" s="24"/>
      <c r="L23" s="25">
        <v>10</v>
      </c>
      <c r="M23" s="24">
        <v>1</v>
      </c>
      <c r="N23" s="306"/>
    </row>
    <row r="24" spans="1:14" ht="10.9" customHeight="1">
      <c r="A24" s="287" t="s">
        <v>124</v>
      </c>
      <c r="B24" s="32"/>
      <c r="C24" s="312">
        <v>3</v>
      </c>
      <c r="D24" s="54">
        <v>3</v>
      </c>
      <c r="E24" s="33"/>
      <c r="F24" s="34"/>
      <c r="G24" s="35"/>
      <c r="H24" s="23">
        <v>125</v>
      </c>
      <c r="I24" s="47"/>
      <c r="J24" s="37"/>
      <c r="K24" s="20"/>
      <c r="L24" s="22">
        <v>10</v>
      </c>
      <c r="M24" s="20">
        <v>1</v>
      </c>
      <c r="N24" s="305"/>
    </row>
    <row r="25" spans="1:14" ht="10.9" customHeight="1">
      <c r="A25" s="289" t="s">
        <v>130</v>
      </c>
      <c r="B25" s="48">
        <v>5</v>
      </c>
      <c r="C25" s="314"/>
      <c r="D25" s="55"/>
      <c r="E25" s="41">
        <v>5</v>
      </c>
      <c r="F25" s="49"/>
      <c r="G25" s="50"/>
      <c r="H25" s="26">
        <v>160</v>
      </c>
      <c r="I25" s="45"/>
      <c r="J25" s="46"/>
      <c r="K25" s="24">
        <v>10</v>
      </c>
      <c r="L25" s="25"/>
      <c r="M25" s="24"/>
      <c r="N25" s="306"/>
    </row>
    <row r="26" spans="1:14" ht="10.9" customHeight="1">
      <c r="A26" s="287" t="s">
        <v>136</v>
      </c>
      <c r="B26" s="53"/>
      <c r="C26" s="312">
        <v>7</v>
      </c>
      <c r="D26" s="54"/>
      <c r="E26" s="33"/>
      <c r="F26" s="34"/>
      <c r="G26" s="35"/>
      <c r="H26" s="23">
        <v>175</v>
      </c>
      <c r="I26" s="47"/>
      <c r="J26" s="37"/>
      <c r="K26" s="20"/>
      <c r="L26" s="22">
        <v>10</v>
      </c>
      <c r="M26" s="20"/>
      <c r="N26" s="305"/>
    </row>
    <row r="27" spans="1:14" ht="10.9" customHeight="1">
      <c r="A27" s="289" t="s">
        <v>138</v>
      </c>
      <c r="B27" s="48">
        <v>5</v>
      </c>
      <c r="C27" s="314"/>
      <c r="D27" s="55">
        <v>5</v>
      </c>
      <c r="E27" s="41"/>
      <c r="F27" s="49"/>
      <c r="G27" s="50"/>
      <c r="H27" s="26">
        <v>200</v>
      </c>
      <c r="I27" s="51"/>
      <c r="J27" s="46"/>
      <c r="K27" s="24">
        <v>10</v>
      </c>
      <c r="L27" s="25"/>
      <c r="M27" s="52"/>
      <c r="N27" s="306"/>
    </row>
    <row r="28" spans="1:14" ht="10.9" customHeight="1">
      <c r="A28" s="287" t="s">
        <v>140</v>
      </c>
      <c r="B28" s="53">
        <v>5</v>
      </c>
      <c r="C28" s="312">
        <v>5</v>
      </c>
      <c r="D28" s="54"/>
      <c r="E28" s="33"/>
      <c r="F28" s="34"/>
      <c r="G28" s="35"/>
      <c r="H28" s="23">
        <v>150</v>
      </c>
      <c r="I28" s="47"/>
      <c r="J28" s="37"/>
      <c r="K28" s="20"/>
      <c r="L28" s="22">
        <v>10</v>
      </c>
      <c r="M28" s="20"/>
      <c r="N28" s="305"/>
    </row>
    <row r="29" spans="1:14" ht="10.9" customHeight="1">
      <c r="A29" s="289" t="s">
        <v>142</v>
      </c>
      <c r="B29" s="48">
        <v>7</v>
      </c>
      <c r="C29" s="314"/>
      <c r="D29" s="55">
        <v>7</v>
      </c>
      <c r="E29" s="41"/>
      <c r="F29" s="49"/>
      <c r="G29" s="50"/>
      <c r="H29" s="26">
        <v>210</v>
      </c>
      <c r="I29" s="45"/>
      <c r="J29" s="46"/>
      <c r="K29" s="24">
        <v>20</v>
      </c>
      <c r="L29" s="25">
        <v>20</v>
      </c>
      <c r="M29" s="24"/>
      <c r="N29" s="306"/>
    </row>
    <row r="30" spans="1:14" ht="10.9" customHeight="1">
      <c r="A30" s="287" t="s">
        <v>145</v>
      </c>
      <c r="B30" s="53">
        <v>7</v>
      </c>
      <c r="C30" s="312">
        <v>7</v>
      </c>
      <c r="D30" s="54"/>
      <c r="E30" s="33"/>
      <c r="F30" s="34"/>
      <c r="G30" s="35"/>
      <c r="H30" s="23">
        <v>210</v>
      </c>
      <c r="I30" s="47">
        <v>0.5</v>
      </c>
      <c r="J30" s="37"/>
      <c r="K30" s="20">
        <v>10</v>
      </c>
      <c r="L30" s="22">
        <v>10</v>
      </c>
      <c r="M30" s="20"/>
      <c r="N30" s="305"/>
    </row>
    <row r="31" spans="1:14" ht="10.9" customHeight="1">
      <c r="A31" s="289" t="s">
        <v>148</v>
      </c>
      <c r="B31" s="48"/>
      <c r="C31" s="314"/>
      <c r="D31" s="55"/>
      <c r="E31" s="41"/>
      <c r="F31" s="49"/>
      <c r="G31" s="43"/>
      <c r="H31" s="26">
        <v>225</v>
      </c>
      <c r="I31" s="45"/>
      <c r="J31" s="46"/>
      <c r="K31" s="24"/>
      <c r="L31" s="25"/>
      <c r="M31" s="24"/>
      <c r="N31" s="306">
        <v>1</v>
      </c>
    </row>
    <row r="32" spans="1:14" ht="10.9" customHeight="1">
      <c r="A32" s="287" t="s">
        <v>151</v>
      </c>
      <c r="B32" s="53">
        <v>5</v>
      </c>
      <c r="C32" s="312">
        <v>5</v>
      </c>
      <c r="D32" s="54">
        <v>5</v>
      </c>
      <c r="E32" s="33">
        <v>5</v>
      </c>
      <c r="F32" s="34"/>
      <c r="G32" s="35"/>
      <c r="H32" s="23">
        <v>180</v>
      </c>
      <c r="I32" s="47"/>
      <c r="J32" s="37"/>
      <c r="K32" s="20">
        <v>10</v>
      </c>
      <c r="L32" s="22">
        <v>10</v>
      </c>
      <c r="M32" s="20"/>
      <c r="N32" s="305"/>
    </row>
    <row r="33" spans="1:14" ht="10.9" customHeight="1">
      <c r="A33" s="289" t="s">
        <v>152</v>
      </c>
      <c r="B33" s="48">
        <v>5</v>
      </c>
      <c r="C33" s="314">
        <v>5</v>
      </c>
      <c r="D33" s="55">
        <v>5</v>
      </c>
      <c r="E33" s="41">
        <v>5</v>
      </c>
      <c r="F33" s="49"/>
      <c r="G33" s="50"/>
      <c r="H33" s="26">
        <v>180</v>
      </c>
      <c r="I33" s="45"/>
      <c r="J33" s="46"/>
      <c r="K33" s="24">
        <v>10</v>
      </c>
      <c r="L33" s="25">
        <v>10</v>
      </c>
      <c r="M33" s="24"/>
      <c r="N33" s="306"/>
    </row>
    <row r="34" spans="1:14" ht="10.9" customHeight="1">
      <c r="A34" s="287" t="s">
        <v>101</v>
      </c>
      <c r="B34" s="53"/>
      <c r="C34" s="312"/>
      <c r="D34" s="54"/>
      <c r="E34" s="33"/>
      <c r="F34" s="34"/>
      <c r="G34" s="35"/>
      <c r="H34" s="23">
        <v>50</v>
      </c>
      <c r="I34" s="56"/>
      <c r="J34" s="37"/>
      <c r="K34" s="20"/>
      <c r="L34" s="22"/>
      <c r="M34" s="57"/>
      <c r="N34" s="305"/>
    </row>
    <row r="35" spans="1:14" ht="10.9" customHeight="1">
      <c r="A35" s="289" t="s">
        <v>108</v>
      </c>
      <c r="B35" s="48">
        <v>3</v>
      </c>
      <c r="C35" s="314"/>
      <c r="D35" s="55"/>
      <c r="E35" s="41"/>
      <c r="F35" s="49"/>
      <c r="G35" s="50"/>
      <c r="H35" s="26">
        <v>75</v>
      </c>
      <c r="I35" s="51"/>
      <c r="J35" s="46"/>
      <c r="K35" s="24"/>
      <c r="L35" s="25"/>
      <c r="M35" s="52">
        <v>1</v>
      </c>
      <c r="N35" s="306"/>
    </row>
    <row r="36" spans="1:14" ht="10.9" customHeight="1">
      <c r="A36" s="287" t="s">
        <v>115</v>
      </c>
      <c r="B36" s="53"/>
      <c r="C36" s="312"/>
      <c r="D36" s="54">
        <v>5</v>
      </c>
      <c r="E36" s="33"/>
      <c r="F36" s="34"/>
      <c r="G36" s="35"/>
      <c r="H36" s="23">
        <v>100</v>
      </c>
      <c r="I36" s="56"/>
      <c r="J36" s="37"/>
      <c r="K36" s="20">
        <v>10</v>
      </c>
      <c r="L36" s="22"/>
      <c r="M36" s="57"/>
      <c r="N36" s="305"/>
    </row>
    <row r="37" spans="1:14" ht="10.9" customHeight="1">
      <c r="A37" s="289" t="s">
        <v>121</v>
      </c>
      <c r="B37" s="48">
        <v>3</v>
      </c>
      <c r="C37" s="314"/>
      <c r="D37" s="55">
        <v>3</v>
      </c>
      <c r="E37" s="41"/>
      <c r="F37" s="49"/>
      <c r="G37" s="50"/>
      <c r="H37" s="26">
        <v>130</v>
      </c>
      <c r="I37" s="51"/>
      <c r="J37" s="46"/>
      <c r="K37" s="24">
        <v>10</v>
      </c>
      <c r="L37" s="25"/>
      <c r="M37" s="52"/>
      <c r="N37" s="306"/>
    </row>
    <row r="38" spans="1:14" ht="10.9" customHeight="1">
      <c r="A38" s="287" t="s">
        <v>127</v>
      </c>
      <c r="B38" s="53">
        <v>5</v>
      </c>
      <c r="C38" s="312"/>
      <c r="D38" s="54"/>
      <c r="E38" s="33"/>
      <c r="F38" s="34"/>
      <c r="G38" s="35"/>
      <c r="H38" s="23">
        <v>160</v>
      </c>
      <c r="I38" s="56"/>
      <c r="J38" s="37"/>
      <c r="K38" s="20"/>
      <c r="L38" s="22"/>
      <c r="M38" s="57">
        <v>1</v>
      </c>
      <c r="N38" s="305"/>
    </row>
    <row r="39" spans="1:14" ht="10.9" customHeight="1">
      <c r="A39" s="289" t="s">
        <v>133</v>
      </c>
      <c r="B39" s="48">
        <v>5</v>
      </c>
      <c r="C39" s="314"/>
      <c r="D39" s="55">
        <v>5</v>
      </c>
      <c r="E39" s="41"/>
      <c r="F39" s="49"/>
      <c r="G39" s="50"/>
      <c r="H39" s="26">
        <v>200</v>
      </c>
      <c r="I39" s="51"/>
      <c r="J39" s="46"/>
      <c r="K39" s="24">
        <v>10</v>
      </c>
      <c r="L39" s="25"/>
      <c r="M39" s="52">
        <v>1</v>
      </c>
      <c r="N39" s="306"/>
    </row>
    <row r="40" spans="1:14" ht="10.9" customHeight="1">
      <c r="A40" s="287" t="s">
        <v>164</v>
      </c>
      <c r="B40" s="53">
        <v>5</v>
      </c>
      <c r="C40" s="312"/>
      <c r="D40" s="54"/>
      <c r="E40" s="33"/>
      <c r="F40" s="34"/>
      <c r="G40" s="35"/>
      <c r="H40" s="23">
        <v>175</v>
      </c>
      <c r="I40" s="56"/>
      <c r="J40" s="37"/>
      <c r="K40" s="20">
        <v>10</v>
      </c>
      <c r="L40" s="22"/>
      <c r="M40" s="57"/>
      <c r="N40" s="305">
        <v>1</v>
      </c>
    </row>
    <row r="41" spans="1:14" ht="10.9" customHeight="1">
      <c r="A41" s="289" t="s">
        <v>92</v>
      </c>
      <c r="B41" s="48">
        <v>-3</v>
      </c>
      <c r="C41" s="314"/>
      <c r="D41" s="55"/>
      <c r="E41" s="41">
        <v>3</v>
      </c>
      <c r="F41" s="49"/>
      <c r="G41" s="50"/>
      <c r="H41" s="44">
        <v>60</v>
      </c>
      <c r="I41" s="51"/>
      <c r="J41" s="46"/>
      <c r="K41" s="24"/>
      <c r="L41" s="25"/>
      <c r="M41" s="52"/>
      <c r="N41" s="306">
        <v>4</v>
      </c>
    </row>
    <row r="42" spans="1:14" ht="10.9" customHeight="1">
      <c r="A42" s="287" t="s">
        <v>96</v>
      </c>
      <c r="B42" s="53"/>
      <c r="C42" s="312"/>
      <c r="D42" s="54"/>
      <c r="E42" s="33"/>
      <c r="F42" s="34"/>
      <c r="G42" s="35"/>
      <c r="H42" s="23">
        <v>80</v>
      </c>
      <c r="I42" s="47">
        <v>0.5</v>
      </c>
      <c r="J42" s="37">
        <v>1</v>
      </c>
      <c r="K42" s="20"/>
      <c r="L42" s="22"/>
      <c r="M42" s="20"/>
      <c r="N42" s="305"/>
    </row>
    <row r="43" spans="1:14" ht="10.9" customHeight="1">
      <c r="A43" s="289" t="s">
        <v>103</v>
      </c>
      <c r="B43" s="48"/>
      <c r="C43" s="314"/>
      <c r="D43" s="55"/>
      <c r="E43" s="41"/>
      <c r="F43" s="49">
        <v>0.25</v>
      </c>
      <c r="G43" s="50"/>
      <c r="H43" s="26">
        <v>90</v>
      </c>
      <c r="I43" s="45">
        <v>0.5</v>
      </c>
      <c r="J43" s="46">
        <v>1</v>
      </c>
      <c r="K43" s="24"/>
      <c r="L43" s="25"/>
      <c r="M43" s="24"/>
      <c r="N43" s="306"/>
    </row>
    <row r="44" spans="1:14" ht="10.9" customHeight="1">
      <c r="A44" s="287" t="s">
        <v>110</v>
      </c>
      <c r="B44" s="53"/>
      <c r="C44" s="312"/>
      <c r="D44" s="54"/>
      <c r="E44" s="33"/>
      <c r="F44" s="58">
        <v>0.125</v>
      </c>
      <c r="G44" s="35"/>
      <c r="H44" s="23">
        <v>100</v>
      </c>
      <c r="I44" s="47">
        <v>0.5</v>
      </c>
      <c r="J44" s="37">
        <v>1</v>
      </c>
      <c r="K44" s="20"/>
      <c r="L44" s="22"/>
      <c r="M44" s="20">
        <v>1</v>
      </c>
      <c r="N44" s="305"/>
    </row>
    <row r="45" spans="1:14" ht="10.9" customHeight="1">
      <c r="A45" s="289" t="s">
        <v>116</v>
      </c>
      <c r="B45" s="48"/>
      <c r="C45" s="314"/>
      <c r="D45" s="55"/>
      <c r="E45" s="41"/>
      <c r="F45" s="42">
        <v>0.125</v>
      </c>
      <c r="G45" s="50"/>
      <c r="H45" s="26">
        <v>120</v>
      </c>
      <c r="I45" s="45">
        <v>0.5</v>
      </c>
      <c r="J45" s="46">
        <v>1</v>
      </c>
      <c r="K45" s="24"/>
      <c r="L45" s="25"/>
      <c r="M45" s="24">
        <v>1</v>
      </c>
      <c r="N45" s="306"/>
    </row>
    <row r="46" spans="1:14" ht="10.9" customHeight="1">
      <c r="A46" s="287" t="s">
        <v>122</v>
      </c>
      <c r="B46" s="53"/>
      <c r="C46" s="312"/>
      <c r="D46" s="54"/>
      <c r="E46" s="33"/>
      <c r="F46" s="34">
        <v>0.25</v>
      </c>
      <c r="G46" s="35"/>
      <c r="H46" s="23">
        <v>140</v>
      </c>
      <c r="I46" s="47">
        <v>0.5</v>
      </c>
      <c r="J46" s="37">
        <v>1</v>
      </c>
      <c r="K46" s="20"/>
      <c r="L46" s="22"/>
      <c r="M46" s="20"/>
      <c r="N46" s="305"/>
    </row>
    <row r="47" spans="1:14" ht="10.9" customHeight="1">
      <c r="A47" s="289" t="s">
        <v>128</v>
      </c>
      <c r="B47" s="48"/>
      <c r="C47" s="314"/>
      <c r="D47" s="55"/>
      <c r="E47" s="41"/>
      <c r="F47" s="49">
        <v>0.5</v>
      </c>
      <c r="G47" s="50"/>
      <c r="H47" s="26">
        <v>160</v>
      </c>
      <c r="I47" s="45">
        <v>0.5</v>
      </c>
      <c r="J47" s="46">
        <v>1</v>
      </c>
      <c r="K47" s="24"/>
      <c r="L47" s="25"/>
      <c r="M47" s="24"/>
      <c r="N47" s="306"/>
    </row>
    <row r="48" spans="1:14" ht="10.9" customHeight="1">
      <c r="A48" s="287" t="s">
        <v>134</v>
      </c>
      <c r="B48" s="53"/>
      <c r="C48" s="312"/>
      <c r="D48" s="54"/>
      <c r="E48" s="33"/>
      <c r="F48" s="34">
        <v>0.25</v>
      </c>
      <c r="G48" s="35"/>
      <c r="H48" s="23">
        <v>180</v>
      </c>
      <c r="I48" s="47">
        <v>0.5</v>
      </c>
      <c r="J48" s="37">
        <v>1</v>
      </c>
      <c r="K48" s="20"/>
      <c r="L48" s="22"/>
      <c r="M48" s="20">
        <v>1</v>
      </c>
      <c r="N48" s="305"/>
    </row>
    <row r="49" spans="1:14" ht="10.9" customHeight="1">
      <c r="A49" s="289" t="s">
        <v>93</v>
      </c>
      <c r="B49" s="48">
        <v>2</v>
      </c>
      <c r="C49" s="314"/>
      <c r="D49" s="55"/>
      <c r="E49" s="41"/>
      <c r="F49" s="49"/>
      <c r="G49" s="50"/>
      <c r="H49" s="26">
        <v>60</v>
      </c>
      <c r="I49" s="51"/>
      <c r="J49" s="46"/>
      <c r="K49" s="24"/>
      <c r="L49" s="25"/>
      <c r="M49" s="52"/>
      <c r="N49" s="306"/>
    </row>
    <row r="50" spans="1:14" ht="10.9" customHeight="1">
      <c r="A50" s="287" t="s">
        <v>99</v>
      </c>
      <c r="B50" s="53">
        <v>3</v>
      </c>
      <c r="C50" s="312"/>
      <c r="D50" s="54">
        <v>2</v>
      </c>
      <c r="E50" s="33"/>
      <c r="F50" s="34"/>
      <c r="G50" s="35"/>
      <c r="H50" s="23">
        <v>80</v>
      </c>
      <c r="I50" s="56"/>
      <c r="J50" s="37"/>
      <c r="K50" s="20"/>
      <c r="L50" s="22"/>
      <c r="M50" s="57">
        <v>1</v>
      </c>
      <c r="N50" s="305"/>
    </row>
    <row r="51" spans="1:14" ht="10.9" customHeight="1">
      <c r="A51" s="289" t="s">
        <v>106</v>
      </c>
      <c r="B51" s="48">
        <v>3</v>
      </c>
      <c r="C51" s="314"/>
      <c r="D51" s="55"/>
      <c r="E51" s="41">
        <v>2</v>
      </c>
      <c r="F51" s="49"/>
      <c r="G51" s="50"/>
      <c r="H51" s="26">
        <v>90</v>
      </c>
      <c r="I51" s="51"/>
      <c r="J51" s="46"/>
      <c r="K51" s="24"/>
      <c r="L51" s="25"/>
      <c r="M51" s="52">
        <v>1</v>
      </c>
      <c r="N51" s="306"/>
    </row>
    <row r="52" spans="1:14" ht="10.9" customHeight="1">
      <c r="A52" s="287" t="s">
        <v>113</v>
      </c>
      <c r="B52" s="53">
        <v>5</v>
      </c>
      <c r="C52" s="312"/>
      <c r="D52" s="54"/>
      <c r="E52" s="33">
        <v>3</v>
      </c>
      <c r="F52" s="34"/>
      <c r="G52" s="35"/>
      <c r="H52" s="23">
        <v>100</v>
      </c>
      <c r="I52" s="56"/>
      <c r="J52" s="37"/>
      <c r="K52" s="20"/>
      <c r="L52" s="22"/>
      <c r="M52" s="57">
        <v>1</v>
      </c>
      <c r="N52" s="305"/>
    </row>
    <row r="53" spans="1:14" ht="10.9" customHeight="1">
      <c r="A53" s="289" t="s">
        <v>119</v>
      </c>
      <c r="B53" s="48">
        <v>5</v>
      </c>
      <c r="C53" s="314"/>
      <c r="D53" s="55">
        <v>3</v>
      </c>
      <c r="E53" s="41"/>
      <c r="F53" s="49"/>
      <c r="G53" s="50"/>
      <c r="H53" s="26">
        <v>120</v>
      </c>
      <c r="I53" s="51"/>
      <c r="J53" s="46"/>
      <c r="K53" s="24"/>
      <c r="L53" s="25"/>
      <c r="M53" s="52">
        <v>1</v>
      </c>
      <c r="N53" s="306"/>
    </row>
    <row r="54" spans="1:14" ht="10.9" customHeight="1">
      <c r="A54" s="287" t="s">
        <v>125</v>
      </c>
      <c r="B54" s="53">
        <v>7</v>
      </c>
      <c r="C54" s="312"/>
      <c r="D54" s="54"/>
      <c r="E54" s="33">
        <v>5</v>
      </c>
      <c r="F54" s="34"/>
      <c r="G54" s="35"/>
      <c r="H54" s="23">
        <v>150</v>
      </c>
      <c r="I54" s="56"/>
      <c r="J54" s="37"/>
      <c r="K54" s="20"/>
      <c r="L54" s="22"/>
      <c r="M54" s="57">
        <v>1</v>
      </c>
      <c r="N54" s="305"/>
    </row>
    <row r="55" spans="1:14" ht="10.9" customHeight="1">
      <c r="A55" s="289" t="s">
        <v>131</v>
      </c>
      <c r="B55" s="48">
        <v>7</v>
      </c>
      <c r="C55" s="314"/>
      <c r="D55" s="55">
        <v>5</v>
      </c>
      <c r="E55" s="41"/>
      <c r="F55" s="49"/>
      <c r="G55" s="50"/>
      <c r="H55" s="26">
        <v>180</v>
      </c>
      <c r="I55" s="51"/>
      <c r="J55" s="46"/>
      <c r="K55" s="24"/>
      <c r="L55" s="25"/>
      <c r="M55" s="52">
        <v>1</v>
      </c>
      <c r="N55" s="306"/>
    </row>
    <row r="56" spans="1:14" ht="10.9" customHeight="1">
      <c r="A56" s="287" t="s">
        <v>94</v>
      </c>
      <c r="B56" s="32"/>
      <c r="C56" s="312"/>
      <c r="D56" s="312"/>
      <c r="E56" s="33">
        <v>2</v>
      </c>
      <c r="F56" s="34"/>
      <c r="G56" s="35"/>
      <c r="H56" s="23">
        <v>90</v>
      </c>
      <c r="I56" s="47">
        <v>0.5</v>
      </c>
      <c r="J56" s="37"/>
      <c r="K56" s="20">
        <v>10</v>
      </c>
      <c r="L56" s="22"/>
      <c r="M56" s="20"/>
      <c r="N56" s="305"/>
    </row>
    <row r="57" spans="1:14" ht="10.9" customHeight="1">
      <c r="A57" s="289" t="s">
        <v>100</v>
      </c>
      <c r="B57" s="40">
        <v>3</v>
      </c>
      <c r="C57" s="314"/>
      <c r="D57" s="314"/>
      <c r="E57" s="41">
        <v>3</v>
      </c>
      <c r="F57" s="49"/>
      <c r="G57" s="50"/>
      <c r="H57" s="26">
        <v>120</v>
      </c>
      <c r="I57" s="45">
        <v>0.5</v>
      </c>
      <c r="J57" s="46"/>
      <c r="K57" s="24">
        <v>10</v>
      </c>
      <c r="L57" s="25"/>
      <c r="M57" s="24"/>
      <c r="N57" s="306"/>
    </row>
    <row r="58" spans="1:14" ht="10.9" customHeight="1">
      <c r="A58" s="287" t="s">
        <v>107</v>
      </c>
      <c r="B58" s="32"/>
      <c r="C58" s="312"/>
      <c r="D58" s="312">
        <v>3</v>
      </c>
      <c r="E58" s="33">
        <v>3</v>
      </c>
      <c r="F58" s="34"/>
      <c r="G58" s="35"/>
      <c r="H58" s="23">
        <v>140</v>
      </c>
      <c r="I58" s="47">
        <v>0.5</v>
      </c>
      <c r="J58" s="37"/>
      <c r="K58" s="20">
        <v>10</v>
      </c>
      <c r="L58" s="22"/>
      <c r="M58" s="20"/>
      <c r="N58" s="305"/>
    </row>
    <row r="59" spans="1:14" ht="10.9" customHeight="1">
      <c r="A59" s="289" t="s">
        <v>114</v>
      </c>
      <c r="B59" s="40"/>
      <c r="C59" s="314"/>
      <c r="D59" s="314">
        <v>5</v>
      </c>
      <c r="E59" s="41">
        <v>5</v>
      </c>
      <c r="F59" s="49"/>
      <c r="G59" s="50"/>
      <c r="H59" s="26">
        <v>150</v>
      </c>
      <c r="I59" s="45">
        <v>0.5</v>
      </c>
      <c r="J59" s="46"/>
      <c r="K59" s="24">
        <v>10</v>
      </c>
      <c r="L59" s="25"/>
      <c r="M59" s="24"/>
      <c r="N59" s="306"/>
    </row>
    <row r="60" spans="1:14" ht="10.9" customHeight="1">
      <c r="A60" s="287" t="s">
        <v>120</v>
      </c>
      <c r="B60" s="32">
        <v>5</v>
      </c>
      <c r="C60" s="312"/>
      <c r="D60" s="312"/>
      <c r="E60" s="33">
        <v>5</v>
      </c>
      <c r="F60" s="34"/>
      <c r="G60" s="35"/>
      <c r="H60" s="23">
        <v>160</v>
      </c>
      <c r="I60" s="47">
        <v>0.5</v>
      </c>
      <c r="J60" s="37"/>
      <c r="K60" s="20">
        <v>10</v>
      </c>
      <c r="L60" s="22"/>
      <c r="M60" s="20"/>
      <c r="N60" s="305"/>
    </row>
    <row r="61" spans="1:14" ht="10.9" customHeight="1">
      <c r="A61" s="289" t="s">
        <v>126</v>
      </c>
      <c r="B61" s="40">
        <v>7</v>
      </c>
      <c r="C61" s="314"/>
      <c r="D61" s="314"/>
      <c r="E61" s="41">
        <v>7</v>
      </c>
      <c r="F61" s="49"/>
      <c r="G61" s="50"/>
      <c r="H61" s="26">
        <v>180</v>
      </c>
      <c r="I61" s="45">
        <v>0.5</v>
      </c>
      <c r="J61" s="46"/>
      <c r="K61" s="24">
        <v>10</v>
      </c>
      <c r="L61" s="25"/>
      <c r="M61" s="24"/>
      <c r="N61" s="306"/>
    </row>
    <row r="62" spans="1:14" ht="10.9" customHeight="1">
      <c r="A62" s="287" t="s">
        <v>132</v>
      </c>
      <c r="B62" s="32"/>
      <c r="C62" s="312"/>
      <c r="D62" s="312">
        <v>7</v>
      </c>
      <c r="E62" s="33">
        <v>7</v>
      </c>
      <c r="F62" s="34"/>
      <c r="G62" s="35"/>
      <c r="H62" s="23">
        <v>210</v>
      </c>
      <c r="I62" s="47">
        <v>0.5</v>
      </c>
      <c r="J62" s="37"/>
      <c r="K62" s="20">
        <v>10</v>
      </c>
      <c r="L62" s="22"/>
      <c r="M62" s="20"/>
      <c r="N62" s="305"/>
    </row>
    <row r="63" spans="1:14" ht="10.9" customHeight="1">
      <c r="A63" s="289" t="s">
        <v>156</v>
      </c>
      <c r="B63" s="40"/>
      <c r="C63" s="314"/>
      <c r="D63" s="314">
        <v>2</v>
      </c>
      <c r="E63" s="314"/>
      <c r="F63" s="49"/>
      <c r="G63" s="50"/>
      <c r="H63" s="26">
        <v>75</v>
      </c>
      <c r="I63" s="51"/>
      <c r="J63" s="46"/>
      <c r="K63" s="24">
        <v>10</v>
      </c>
      <c r="L63" s="25">
        <v>10</v>
      </c>
      <c r="M63" s="52"/>
      <c r="N63" s="306"/>
    </row>
    <row r="64" spans="1:14" ht="10.9" customHeight="1">
      <c r="A64" s="287" t="s">
        <v>158</v>
      </c>
      <c r="B64" s="32"/>
      <c r="C64" s="312"/>
      <c r="D64" s="312">
        <v>3</v>
      </c>
      <c r="E64" s="312"/>
      <c r="F64" s="34"/>
      <c r="G64" s="35"/>
      <c r="H64" s="23">
        <v>100</v>
      </c>
      <c r="I64" s="56"/>
      <c r="J64" s="37"/>
      <c r="K64" s="20">
        <v>10</v>
      </c>
      <c r="L64" s="22">
        <v>10</v>
      </c>
      <c r="M64" s="57"/>
      <c r="N64" s="305"/>
    </row>
    <row r="65" spans="1:14" ht="10.9" customHeight="1">
      <c r="A65" s="289" t="s">
        <v>160</v>
      </c>
      <c r="B65" s="40"/>
      <c r="C65" s="314">
        <v>5</v>
      </c>
      <c r="D65" s="314">
        <v>3</v>
      </c>
      <c r="E65" s="314"/>
      <c r="F65" s="49"/>
      <c r="G65" s="50"/>
      <c r="H65" s="26">
        <v>125</v>
      </c>
      <c r="I65" s="51"/>
      <c r="J65" s="46"/>
      <c r="K65" s="24">
        <v>10</v>
      </c>
      <c r="L65" s="25">
        <v>10</v>
      </c>
      <c r="M65" s="52"/>
      <c r="N65" s="306"/>
    </row>
    <row r="66" spans="1:14" ht="10.9" customHeight="1">
      <c r="A66" s="287" t="s">
        <v>161</v>
      </c>
      <c r="B66" s="32"/>
      <c r="C66" s="312"/>
      <c r="D66" s="312">
        <v>5</v>
      </c>
      <c r="E66" s="312"/>
      <c r="F66" s="34"/>
      <c r="G66" s="35"/>
      <c r="H66" s="23">
        <v>150</v>
      </c>
      <c r="I66" s="56"/>
      <c r="J66" s="37"/>
      <c r="K66" s="20">
        <v>10</v>
      </c>
      <c r="L66" s="22">
        <v>10</v>
      </c>
      <c r="M66" s="57"/>
      <c r="N66" s="305"/>
    </row>
    <row r="67" spans="1:14" ht="10.9" customHeight="1">
      <c r="A67" s="289" t="s">
        <v>163</v>
      </c>
      <c r="B67" s="40"/>
      <c r="C67" s="314">
        <v>7</v>
      </c>
      <c r="D67" s="314"/>
      <c r="E67" s="314"/>
      <c r="F67" s="49"/>
      <c r="G67" s="50"/>
      <c r="H67" s="26">
        <v>175</v>
      </c>
      <c r="I67" s="51"/>
      <c r="J67" s="46"/>
      <c r="K67" s="24">
        <v>10</v>
      </c>
      <c r="L67" s="25">
        <v>10</v>
      </c>
      <c r="M67" s="52"/>
      <c r="N67" s="306"/>
    </row>
    <row r="68" spans="1:14" ht="10.9" customHeight="1">
      <c r="A68" s="287" t="s">
        <v>165</v>
      </c>
      <c r="B68" s="32"/>
      <c r="C68" s="312"/>
      <c r="D68" s="312">
        <v>7</v>
      </c>
      <c r="E68" s="312"/>
      <c r="F68" s="34"/>
      <c r="G68" s="35"/>
      <c r="H68" s="23">
        <v>200</v>
      </c>
      <c r="I68" s="56"/>
      <c r="J68" s="37"/>
      <c r="K68" s="20">
        <v>10</v>
      </c>
      <c r="L68" s="22">
        <v>10</v>
      </c>
      <c r="M68" s="57"/>
      <c r="N68" s="305"/>
    </row>
    <row r="69" spans="1:14" ht="10.9" customHeight="1">
      <c r="A69" s="289" t="s">
        <v>166</v>
      </c>
      <c r="B69" s="40"/>
      <c r="C69" s="314"/>
      <c r="D69" s="314"/>
      <c r="E69" s="41"/>
      <c r="F69" s="49"/>
      <c r="G69" s="50"/>
      <c r="H69" s="26">
        <v>100</v>
      </c>
      <c r="I69" s="45"/>
      <c r="J69" s="46"/>
      <c r="K69" s="24"/>
      <c r="L69" s="25"/>
      <c r="M69" s="24">
        <v>1</v>
      </c>
      <c r="N69" s="306"/>
    </row>
    <row r="70" spans="1:14" ht="10.9" customHeight="1">
      <c r="A70" s="287" t="s">
        <v>139</v>
      </c>
      <c r="B70" s="32"/>
      <c r="C70" s="312"/>
      <c r="D70" s="312"/>
      <c r="E70" s="33"/>
      <c r="F70" s="34"/>
      <c r="G70" s="35"/>
      <c r="H70" s="23">
        <v>120</v>
      </c>
      <c r="I70" s="47"/>
      <c r="J70" s="37"/>
      <c r="K70" s="20"/>
      <c r="L70" s="22"/>
      <c r="M70" s="20"/>
      <c r="N70" s="305">
        <v>2</v>
      </c>
    </row>
    <row r="71" spans="1:14" ht="10.9" customHeight="1">
      <c r="A71" s="289" t="s">
        <v>141</v>
      </c>
      <c r="B71" s="40"/>
      <c r="C71" s="314"/>
      <c r="D71" s="314"/>
      <c r="E71" s="41"/>
      <c r="F71" s="49"/>
      <c r="G71" s="50"/>
      <c r="H71" s="26">
        <v>140</v>
      </c>
      <c r="I71" s="45"/>
      <c r="J71" s="46"/>
      <c r="K71" s="24"/>
      <c r="L71" s="25"/>
      <c r="M71" s="24">
        <v>1</v>
      </c>
      <c r="N71" s="306">
        <v>2</v>
      </c>
    </row>
    <row r="72" spans="1:14" ht="10.9" customHeight="1">
      <c r="A72" s="287" t="s">
        <v>143</v>
      </c>
      <c r="B72" s="32"/>
      <c r="C72" s="312"/>
      <c r="D72" s="312"/>
      <c r="E72" s="33"/>
      <c r="F72" s="34"/>
      <c r="G72" s="35"/>
      <c r="H72" s="23">
        <v>160</v>
      </c>
      <c r="I72" s="47"/>
      <c r="J72" s="37"/>
      <c r="K72" s="20"/>
      <c r="L72" s="22"/>
      <c r="M72" s="20"/>
      <c r="N72" s="305">
        <v>2</v>
      </c>
    </row>
    <row r="73" spans="1:14" ht="10.9" customHeight="1">
      <c r="A73" s="289" t="s">
        <v>146</v>
      </c>
      <c r="B73" s="40"/>
      <c r="C73" s="314"/>
      <c r="D73" s="314"/>
      <c r="E73" s="41"/>
      <c r="F73" s="49"/>
      <c r="G73" s="50"/>
      <c r="H73" s="26">
        <v>2</v>
      </c>
      <c r="I73" s="45"/>
      <c r="J73" s="46"/>
      <c r="K73" s="24"/>
      <c r="L73" s="25"/>
      <c r="M73" s="24"/>
      <c r="N73" s="306">
        <v>1</v>
      </c>
    </row>
    <row r="74" spans="1:14" ht="10.9" customHeight="1">
      <c r="A74" s="287" t="s">
        <v>149</v>
      </c>
      <c r="B74" s="32"/>
      <c r="C74" s="312"/>
      <c r="D74" s="312"/>
      <c r="E74" s="33"/>
      <c r="F74" s="34"/>
      <c r="G74" s="35"/>
      <c r="H74" s="23">
        <v>3</v>
      </c>
      <c r="I74" s="47"/>
      <c r="J74" s="37"/>
      <c r="K74" s="20"/>
      <c r="L74" s="22"/>
      <c r="M74" s="20"/>
      <c r="N74" s="305">
        <v>1</v>
      </c>
    </row>
    <row r="75" spans="1:14" ht="10.9" customHeight="1">
      <c r="A75" s="289" t="s">
        <v>97</v>
      </c>
      <c r="B75" s="40"/>
      <c r="C75" s="314"/>
      <c r="D75" s="314"/>
      <c r="E75" s="41">
        <v>3</v>
      </c>
      <c r="F75" s="49"/>
      <c r="G75" s="50"/>
      <c r="H75" s="26">
        <v>90</v>
      </c>
      <c r="I75" s="45"/>
      <c r="J75" s="46"/>
      <c r="K75" s="24"/>
      <c r="L75" s="25"/>
      <c r="M75" s="24"/>
      <c r="N75" s="306"/>
    </row>
    <row r="76" spans="1:14" ht="10.9" customHeight="1">
      <c r="A76" s="287" t="s">
        <v>104</v>
      </c>
      <c r="B76" s="32"/>
      <c r="C76" s="312">
        <v>3</v>
      </c>
      <c r="D76" s="312"/>
      <c r="E76" s="33"/>
      <c r="F76" s="34"/>
      <c r="G76" s="35"/>
      <c r="H76" s="23">
        <v>120</v>
      </c>
      <c r="I76" s="47"/>
      <c r="J76" s="37"/>
      <c r="K76" s="20"/>
      <c r="L76" s="22"/>
      <c r="M76" s="20"/>
      <c r="N76" s="305"/>
    </row>
    <row r="77" spans="1:14" ht="10.9" customHeight="1">
      <c r="A77" s="289" t="s">
        <v>111</v>
      </c>
      <c r="B77" s="40"/>
      <c r="C77" s="314">
        <v>3</v>
      </c>
      <c r="D77" s="314"/>
      <c r="E77" s="41"/>
      <c r="F77" s="49"/>
      <c r="G77" s="50"/>
      <c r="H77" s="26">
        <v>120</v>
      </c>
      <c r="I77" s="45"/>
      <c r="J77" s="46"/>
      <c r="K77" s="24"/>
      <c r="L77" s="25"/>
      <c r="M77" s="24"/>
      <c r="N77" s="306"/>
    </row>
    <row r="78" spans="1:14" ht="10.9" customHeight="1">
      <c r="A78" s="287" t="s">
        <v>117</v>
      </c>
      <c r="B78" s="32"/>
      <c r="C78" s="312">
        <v>3</v>
      </c>
      <c r="D78" s="312"/>
      <c r="E78" s="33"/>
      <c r="F78" s="34"/>
      <c r="G78" s="35"/>
      <c r="H78" s="23">
        <v>120</v>
      </c>
      <c r="I78" s="47"/>
      <c r="J78" s="37"/>
      <c r="K78" s="20"/>
      <c r="L78" s="22"/>
      <c r="M78" s="20"/>
      <c r="N78" s="305"/>
    </row>
    <row r="79" spans="1:14" ht="10.9" customHeight="1">
      <c r="A79" s="289" t="s">
        <v>123</v>
      </c>
      <c r="B79" s="40"/>
      <c r="C79" s="314"/>
      <c r="D79" s="314"/>
      <c r="E79" s="41">
        <v>7</v>
      </c>
      <c r="F79" s="49"/>
      <c r="G79" s="50"/>
      <c r="H79" s="26">
        <v>150</v>
      </c>
      <c r="I79" s="45"/>
      <c r="J79" s="46"/>
      <c r="K79" s="24">
        <v>10</v>
      </c>
      <c r="L79" s="25"/>
      <c r="M79" s="24"/>
      <c r="N79" s="306"/>
    </row>
    <row r="80" spans="1:14" ht="10.9" customHeight="1">
      <c r="A80" s="287" t="s">
        <v>129</v>
      </c>
      <c r="B80" s="32"/>
      <c r="C80" s="312">
        <v>3</v>
      </c>
      <c r="D80" s="312"/>
      <c r="E80" s="33">
        <v>3</v>
      </c>
      <c r="F80" s="34"/>
      <c r="G80" s="35"/>
      <c r="H80" s="23">
        <v>150</v>
      </c>
      <c r="I80" s="47"/>
      <c r="J80" s="37"/>
      <c r="K80" s="20">
        <v>10</v>
      </c>
      <c r="L80" s="22"/>
      <c r="M80" s="20"/>
      <c r="N80" s="305"/>
    </row>
    <row r="81" spans="1:14" ht="10.9" customHeight="1">
      <c r="A81" s="289" t="s">
        <v>135</v>
      </c>
      <c r="B81" s="40"/>
      <c r="C81" s="314">
        <v>7</v>
      </c>
      <c r="D81" s="314"/>
      <c r="E81" s="41">
        <v>7</v>
      </c>
      <c r="F81" s="49"/>
      <c r="G81" s="50"/>
      <c r="H81" s="26">
        <v>150</v>
      </c>
      <c r="I81" s="45"/>
      <c r="J81" s="46"/>
      <c r="K81" s="24">
        <v>10</v>
      </c>
      <c r="L81" s="25"/>
      <c r="M81" s="24"/>
      <c r="N81" s="306"/>
    </row>
    <row r="82" spans="1:14" ht="10.9" customHeight="1">
      <c r="A82" s="287" t="s">
        <v>137</v>
      </c>
      <c r="B82" s="32"/>
      <c r="C82" s="312"/>
      <c r="D82" s="312">
        <v>5</v>
      </c>
      <c r="E82" s="33">
        <v>5</v>
      </c>
      <c r="F82" s="34"/>
      <c r="G82" s="35"/>
      <c r="H82" s="23">
        <v>180</v>
      </c>
      <c r="I82" s="47"/>
      <c r="J82" s="37"/>
      <c r="K82" s="20">
        <v>10</v>
      </c>
      <c r="L82" s="22"/>
      <c r="M82" s="20"/>
      <c r="N82" s="305"/>
    </row>
    <row r="83" spans="1:14" ht="10.9" customHeight="1">
      <c r="A83" s="289" t="s">
        <v>144</v>
      </c>
      <c r="B83" s="40"/>
      <c r="C83" s="314">
        <v>3</v>
      </c>
      <c r="D83" s="314"/>
      <c r="E83" s="41"/>
      <c r="F83" s="49"/>
      <c r="G83" s="50"/>
      <c r="H83" s="26">
        <v>60</v>
      </c>
      <c r="I83" s="45"/>
      <c r="J83" s="46"/>
      <c r="K83" s="24"/>
      <c r="L83" s="25">
        <v>10</v>
      </c>
      <c r="M83" s="24"/>
      <c r="N83" s="306">
        <v>3</v>
      </c>
    </row>
    <row r="84" spans="1:14" ht="10.9" customHeight="1">
      <c r="A84" s="287" t="s">
        <v>147</v>
      </c>
      <c r="B84" s="32"/>
      <c r="C84" s="312">
        <v>3</v>
      </c>
      <c r="D84" s="312">
        <v>3</v>
      </c>
      <c r="E84" s="33"/>
      <c r="F84" s="34"/>
      <c r="G84" s="35"/>
      <c r="H84" s="23">
        <v>80</v>
      </c>
      <c r="I84" s="47"/>
      <c r="J84" s="37"/>
      <c r="K84" s="20"/>
      <c r="L84" s="22">
        <v>10</v>
      </c>
      <c r="M84" s="20"/>
      <c r="N84" s="305">
        <v>3</v>
      </c>
    </row>
    <row r="85" spans="1:14" ht="10.9" customHeight="1">
      <c r="A85" s="289" t="s">
        <v>150</v>
      </c>
      <c r="B85" s="40"/>
      <c r="C85" s="314">
        <v>5</v>
      </c>
      <c r="D85" s="314">
        <v>3</v>
      </c>
      <c r="E85" s="41"/>
      <c r="F85" s="49"/>
      <c r="G85" s="50"/>
      <c r="H85" s="26">
        <v>100</v>
      </c>
      <c r="I85" s="45"/>
      <c r="J85" s="46"/>
      <c r="K85" s="24"/>
      <c r="L85" s="25">
        <v>10</v>
      </c>
      <c r="M85" s="24"/>
      <c r="N85" s="306">
        <v>3</v>
      </c>
    </row>
    <row r="86" spans="1:14" ht="10.9" customHeight="1">
      <c r="A86" s="287" t="s">
        <v>153</v>
      </c>
      <c r="B86" s="32"/>
      <c r="C86" s="312">
        <v>5</v>
      </c>
      <c r="D86" s="312">
        <v>5</v>
      </c>
      <c r="E86" s="33"/>
      <c r="F86" s="34"/>
      <c r="G86" s="35"/>
      <c r="H86" s="23">
        <v>120</v>
      </c>
      <c r="I86" s="47"/>
      <c r="J86" s="37"/>
      <c r="K86" s="20"/>
      <c r="L86" s="22">
        <v>10</v>
      </c>
      <c r="M86" s="20"/>
      <c r="N86" s="305">
        <v>3</v>
      </c>
    </row>
    <row r="87" spans="1:14" ht="10.9" customHeight="1">
      <c r="A87" s="289" t="s">
        <v>162</v>
      </c>
      <c r="B87" s="40"/>
      <c r="C87" s="314"/>
      <c r="D87" s="314">
        <v>-2</v>
      </c>
      <c r="E87" s="41"/>
      <c r="F87" s="49"/>
      <c r="G87" s="50"/>
      <c r="H87" s="26">
        <v>125</v>
      </c>
      <c r="I87" s="45"/>
      <c r="J87" s="46"/>
      <c r="K87" s="24"/>
      <c r="L87" s="25"/>
      <c r="M87" s="24"/>
      <c r="N87" s="306">
        <v>1</v>
      </c>
    </row>
    <row r="88" spans="1:14" ht="10.9" customHeight="1">
      <c r="A88" s="287" t="s">
        <v>154</v>
      </c>
      <c r="B88" s="32"/>
      <c r="C88" s="312"/>
      <c r="D88" s="312"/>
      <c r="E88" s="33"/>
      <c r="F88" s="34"/>
      <c r="G88" s="35"/>
      <c r="H88" s="23">
        <v>50</v>
      </c>
      <c r="I88" s="56"/>
      <c r="J88" s="37"/>
      <c r="K88" s="20"/>
      <c r="L88" s="22"/>
      <c r="M88" s="57"/>
      <c r="N88" s="305">
        <v>2</v>
      </c>
    </row>
    <row r="89" spans="1:14" ht="10.9" customHeight="1">
      <c r="A89" s="289" t="s">
        <v>155</v>
      </c>
      <c r="B89" s="40"/>
      <c r="C89" s="314"/>
      <c r="D89" s="314"/>
      <c r="E89" s="41"/>
      <c r="F89" s="49"/>
      <c r="G89" s="50"/>
      <c r="H89" s="26">
        <v>100</v>
      </c>
      <c r="I89" s="51"/>
      <c r="J89" s="46"/>
      <c r="K89" s="24"/>
      <c r="L89" s="25"/>
      <c r="M89" s="52"/>
      <c r="N89" s="306">
        <v>2</v>
      </c>
    </row>
    <row r="90" spans="1:14" ht="10.9" customHeight="1">
      <c r="A90" s="287" t="s">
        <v>157</v>
      </c>
      <c r="B90" s="32"/>
      <c r="C90" s="312"/>
      <c r="D90" s="312"/>
      <c r="E90" s="33"/>
      <c r="F90" s="34"/>
      <c r="G90" s="35"/>
      <c r="H90" s="23">
        <v>130</v>
      </c>
      <c r="I90" s="56"/>
      <c r="J90" s="37"/>
      <c r="K90" s="20"/>
      <c r="L90" s="22"/>
      <c r="M90" s="57"/>
      <c r="N90" s="305">
        <v>2</v>
      </c>
    </row>
    <row r="91" spans="1:14" ht="10.9" customHeight="1">
      <c r="A91" s="289" t="s">
        <v>159</v>
      </c>
      <c r="B91" s="40"/>
      <c r="C91" s="314"/>
      <c r="D91" s="314"/>
      <c r="E91" s="41"/>
      <c r="F91" s="49"/>
      <c r="G91" s="50"/>
      <c r="H91" s="26">
        <v>160</v>
      </c>
      <c r="I91" s="51"/>
      <c r="J91" s="46"/>
      <c r="K91" s="24"/>
      <c r="L91" s="25"/>
      <c r="M91" s="52"/>
      <c r="N91" s="306">
        <v>2</v>
      </c>
    </row>
    <row r="92" spans="1:14" ht="10.9" customHeight="1">
      <c r="A92" s="287" t="s">
        <v>95</v>
      </c>
      <c r="B92" s="32"/>
      <c r="C92" s="312"/>
      <c r="D92" s="312"/>
      <c r="E92" s="33"/>
      <c r="F92" s="34"/>
      <c r="G92" s="35"/>
      <c r="H92" s="23">
        <v>50</v>
      </c>
      <c r="I92" s="47"/>
      <c r="J92" s="37"/>
      <c r="K92" s="20"/>
      <c r="L92" s="22"/>
      <c r="M92" s="20"/>
      <c r="N92" s="305"/>
    </row>
    <row r="93" spans="1:14" ht="10.9" customHeight="1">
      <c r="A93" s="289" t="s">
        <v>109</v>
      </c>
      <c r="B93" s="40"/>
      <c r="C93" s="314">
        <v>7</v>
      </c>
      <c r="D93" s="314"/>
      <c r="E93" s="41"/>
      <c r="F93" s="49"/>
      <c r="G93" s="50"/>
      <c r="H93" s="26">
        <v>64</v>
      </c>
      <c r="I93" s="45"/>
      <c r="J93" s="46"/>
      <c r="K93" s="24"/>
      <c r="L93" s="25"/>
      <c r="M93" s="24"/>
      <c r="N93" s="306"/>
    </row>
    <row r="94" spans="1:14" ht="10.9" customHeight="1" thickBot="1">
      <c r="A94" s="315" t="s">
        <v>102</v>
      </c>
      <c r="B94" s="316"/>
      <c r="C94" s="317"/>
      <c r="D94" s="317"/>
      <c r="E94" s="318"/>
      <c r="F94" s="319"/>
      <c r="G94" s="320"/>
      <c r="H94" s="321">
        <v>128</v>
      </c>
      <c r="I94" s="322"/>
      <c r="J94" s="323"/>
      <c r="K94" s="324"/>
      <c r="L94" s="325"/>
      <c r="M94" s="324"/>
      <c r="N94" s="326"/>
    </row>
    <row r="95" spans="1:14" ht="7.15" customHeight="1" thickBot="1"/>
    <row r="96" spans="1:14" ht="12.95" customHeight="1">
      <c r="A96" s="285" t="s">
        <v>505</v>
      </c>
      <c r="B96" s="301" t="s">
        <v>4</v>
      </c>
      <c r="C96" s="302" t="s">
        <v>5</v>
      </c>
      <c r="D96" s="302" t="s">
        <v>6</v>
      </c>
      <c r="E96" s="303" t="s">
        <v>498</v>
      </c>
      <c r="F96" s="327" t="s">
        <v>8</v>
      </c>
      <c r="G96" s="328" t="s">
        <v>9</v>
      </c>
      <c r="H96" s="304" t="s">
        <v>25</v>
      </c>
      <c r="I96" s="301" t="s">
        <v>11</v>
      </c>
      <c r="J96" s="303" t="s">
        <v>12</v>
      </c>
      <c r="K96" s="301" t="s">
        <v>499</v>
      </c>
      <c r="L96" s="286" t="s">
        <v>500</v>
      </c>
      <c r="M96" s="2"/>
      <c r="N96" s="2"/>
    </row>
    <row r="97" spans="1:14" ht="10.9" customHeight="1">
      <c r="A97" s="287" t="s">
        <v>25</v>
      </c>
      <c r="B97" s="32"/>
      <c r="C97" s="312"/>
      <c r="D97" s="312"/>
      <c r="E97" s="33"/>
      <c r="F97" s="58"/>
      <c r="G97" s="59"/>
      <c r="H97" s="60"/>
      <c r="I97" s="20"/>
      <c r="J97" s="22"/>
      <c r="K97" s="20"/>
      <c r="L97" s="305"/>
      <c r="M97" s="2"/>
      <c r="N97" s="2"/>
    </row>
    <row r="98" spans="1:14" ht="10.9" customHeight="1">
      <c r="A98" s="289" t="s">
        <v>167</v>
      </c>
      <c r="B98" s="40"/>
      <c r="C98" s="314"/>
      <c r="D98" s="314"/>
      <c r="E98" s="41"/>
      <c r="F98" s="42"/>
      <c r="G98" s="43"/>
      <c r="H98" s="60"/>
      <c r="I98" s="24">
        <v>10</v>
      </c>
      <c r="J98" s="25">
        <v>10</v>
      </c>
      <c r="K98" s="24">
        <v>10</v>
      </c>
      <c r="L98" s="306"/>
      <c r="M98" s="2"/>
      <c r="N98" s="2"/>
    </row>
    <row r="99" spans="1:14" ht="10.9" customHeight="1">
      <c r="A99" s="287" t="s">
        <v>168</v>
      </c>
      <c r="B99" s="32"/>
      <c r="C99" s="312"/>
      <c r="D99" s="312"/>
      <c r="E99" s="33"/>
      <c r="F99" s="58"/>
      <c r="G99" s="59"/>
      <c r="H99" s="60"/>
      <c r="I99" s="20">
        <v>15</v>
      </c>
      <c r="J99" s="22">
        <v>15</v>
      </c>
      <c r="K99" s="20">
        <v>10</v>
      </c>
      <c r="L99" s="305"/>
      <c r="M99" s="2"/>
      <c r="N99" s="2"/>
    </row>
    <row r="100" spans="1:14" ht="10.9" customHeight="1">
      <c r="A100" s="289" t="s">
        <v>169</v>
      </c>
      <c r="B100" s="40"/>
      <c r="C100" s="314"/>
      <c r="D100" s="314">
        <v>-2</v>
      </c>
      <c r="E100" s="41"/>
      <c r="F100" s="42"/>
      <c r="G100" s="43"/>
      <c r="H100" s="60"/>
      <c r="I100" s="24">
        <v>20</v>
      </c>
      <c r="J100" s="25">
        <v>20</v>
      </c>
      <c r="K100" s="24">
        <v>10</v>
      </c>
      <c r="L100" s="306"/>
      <c r="M100" s="2"/>
      <c r="N100" s="2"/>
    </row>
    <row r="101" spans="1:14" ht="10.9" customHeight="1">
      <c r="A101" s="287" t="s">
        <v>171</v>
      </c>
      <c r="B101" s="32"/>
      <c r="C101" s="312"/>
      <c r="D101" s="312">
        <v>-2</v>
      </c>
      <c r="E101" s="33"/>
      <c r="F101" s="58"/>
      <c r="G101" s="59"/>
      <c r="H101" s="60"/>
      <c r="I101" s="20">
        <v>30</v>
      </c>
      <c r="J101" s="22">
        <v>30</v>
      </c>
      <c r="K101" s="20">
        <v>10</v>
      </c>
      <c r="L101" s="305">
        <v>10</v>
      </c>
      <c r="M101" s="2"/>
      <c r="N101" s="2"/>
    </row>
    <row r="102" spans="1:14" ht="10.9" customHeight="1">
      <c r="A102" s="289" t="s">
        <v>173</v>
      </c>
      <c r="B102" s="40"/>
      <c r="C102" s="314"/>
      <c r="D102" s="314">
        <v>-2</v>
      </c>
      <c r="E102" s="41"/>
      <c r="F102" s="42"/>
      <c r="G102" s="43"/>
      <c r="H102" s="60"/>
      <c r="I102" s="24">
        <v>40</v>
      </c>
      <c r="J102" s="25">
        <v>35</v>
      </c>
      <c r="K102" s="24">
        <v>10</v>
      </c>
      <c r="L102" s="306">
        <v>10</v>
      </c>
      <c r="M102" s="2"/>
      <c r="N102" s="2"/>
    </row>
    <row r="103" spans="1:14" ht="10.9" customHeight="1">
      <c r="A103" s="287" t="s">
        <v>175</v>
      </c>
      <c r="B103" s="32"/>
      <c r="C103" s="312"/>
      <c r="D103" s="312">
        <v>-2</v>
      </c>
      <c r="E103" s="33"/>
      <c r="F103" s="58"/>
      <c r="G103" s="59"/>
      <c r="H103" s="60"/>
      <c r="I103" s="20">
        <v>50</v>
      </c>
      <c r="J103" s="22">
        <v>40</v>
      </c>
      <c r="K103" s="20">
        <v>10</v>
      </c>
      <c r="L103" s="305">
        <v>10</v>
      </c>
      <c r="M103" s="2"/>
      <c r="N103" s="2"/>
    </row>
    <row r="104" spans="1:14" ht="10.9" customHeight="1">
      <c r="A104" s="289" t="s">
        <v>170</v>
      </c>
      <c r="B104" s="40">
        <v>3</v>
      </c>
      <c r="C104" s="314">
        <v>3</v>
      </c>
      <c r="D104" s="314"/>
      <c r="E104" s="41"/>
      <c r="F104" s="42"/>
      <c r="G104" s="43"/>
      <c r="H104" s="60"/>
      <c r="I104" s="24">
        <v>20</v>
      </c>
      <c r="J104" s="25">
        <v>30</v>
      </c>
      <c r="K104" s="24"/>
      <c r="L104" s="306">
        <v>10</v>
      </c>
      <c r="M104" s="2"/>
      <c r="N104" s="2"/>
    </row>
    <row r="105" spans="1:14" ht="10.9" customHeight="1">
      <c r="A105" s="287" t="s">
        <v>172</v>
      </c>
      <c r="B105" s="32"/>
      <c r="C105" s="312">
        <v>3</v>
      </c>
      <c r="D105" s="312"/>
      <c r="E105" s="33">
        <v>3</v>
      </c>
      <c r="F105" s="58"/>
      <c r="G105" s="59"/>
      <c r="H105" s="60"/>
      <c r="I105" s="20">
        <v>20</v>
      </c>
      <c r="J105" s="22">
        <v>30</v>
      </c>
      <c r="K105" s="20"/>
      <c r="L105" s="305">
        <v>10</v>
      </c>
      <c r="M105" s="2"/>
      <c r="N105" s="2"/>
    </row>
    <row r="106" spans="1:14" ht="10.9" customHeight="1">
      <c r="A106" s="289" t="s">
        <v>174</v>
      </c>
      <c r="B106" s="40"/>
      <c r="C106" s="314">
        <v>3</v>
      </c>
      <c r="D106" s="314">
        <v>3</v>
      </c>
      <c r="E106" s="41"/>
      <c r="F106" s="42"/>
      <c r="G106" s="43"/>
      <c r="H106" s="60"/>
      <c r="I106" s="24">
        <v>20</v>
      </c>
      <c r="J106" s="25">
        <v>30</v>
      </c>
      <c r="K106" s="24"/>
      <c r="L106" s="306">
        <v>10</v>
      </c>
      <c r="M106" s="2"/>
      <c r="N106" s="2"/>
    </row>
    <row r="107" spans="1:14" ht="10.9" customHeight="1">
      <c r="A107" s="287" t="s">
        <v>176</v>
      </c>
      <c r="B107" s="32">
        <v>-3</v>
      </c>
      <c r="C107" s="312">
        <v>-3</v>
      </c>
      <c r="D107" s="312">
        <v>-3</v>
      </c>
      <c r="E107" s="33">
        <v>-3</v>
      </c>
      <c r="F107" s="58"/>
      <c r="G107" s="59"/>
      <c r="H107" s="60"/>
      <c r="I107" s="20">
        <v>20</v>
      </c>
      <c r="J107" s="22">
        <v>30</v>
      </c>
      <c r="K107" s="20"/>
      <c r="L107" s="305">
        <v>10</v>
      </c>
      <c r="M107" s="2"/>
      <c r="N107" s="2"/>
    </row>
    <row r="108" spans="1:14" ht="10.9" customHeight="1">
      <c r="A108" s="289" t="s">
        <v>177</v>
      </c>
      <c r="B108" s="40">
        <v>5</v>
      </c>
      <c r="C108" s="314"/>
      <c r="D108" s="314"/>
      <c r="E108" s="41">
        <v>5</v>
      </c>
      <c r="F108" s="42"/>
      <c r="G108" s="43"/>
      <c r="H108" s="60"/>
      <c r="I108" s="24">
        <v>45</v>
      </c>
      <c r="J108" s="25">
        <v>30</v>
      </c>
      <c r="K108" s="24">
        <v>20</v>
      </c>
      <c r="L108" s="306"/>
      <c r="M108" s="2"/>
      <c r="N108" s="2"/>
    </row>
    <row r="109" spans="1:14" ht="10.9" customHeight="1">
      <c r="A109" s="287" t="s">
        <v>178</v>
      </c>
      <c r="B109" s="32"/>
      <c r="C109" s="312">
        <v>5</v>
      </c>
      <c r="D109" s="312"/>
      <c r="E109" s="33"/>
      <c r="F109" s="58"/>
      <c r="G109" s="59"/>
      <c r="H109" s="60"/>
      <c r="I109" s="20">
        <v>30</v>
      </c>
      <c r="J109" s="22">
        <v>45</v>
      </c>
      <c r="K109" s="20"/>
      <c r="L109" s="305">
        <v>20</v>
      </c>
      <c r="M109" s="2"/>
      <c r="N109" s="2"/>
    </row>
    <row r="110" spans="1:14" ht="10.9" customHeight="1">
      <c r="A110" s="289" t="s">
        <v>179</v>
      </c>
      <c r="B110" s="40"/>
      <c r="C110" s="314"/>
      <c r="D110" s="314">
        <v>5</v>
      </c>
      <c r="E110" s="41"/>
      <c r="F110" s="42"/>
      <c r="G110" s="43"/>
      <c r="H110" s="60"/>
      <c r="I110" s="24">
        <v>25</v>
      </c>
      <c r="J110" s="25">
        <v>25</v>
      </c>
      <c r="K110" s="24">
        <v>20</v>
      </c>
      <c r="L110" s="306">
        <v>20</v>
      </c>
      <c r="M110" s="2"/>
      <c r="N110" s="2"/>
    </row>
    <row r="111" spans="1:14" ht="10.9" customHeight="1" thickBot="1">
      <c r="A111" s="315" t="s">
        <v>180</v>
      </c>
      <c r="B111" s="316">
        <v>5</v>
      </c>
      <c r="C111" s="317">
        <v>5</v>
      </c>
      <c r="D111" s="317"/>
      <c r="E111" s="318"/>
      <c r="F111" s="329"/>
      <c r="G111" s="330"/>
      <c r="H111" s="331"/>
      <c r="I111" s="324">
        <v>40</v>
      </c>
      <c r="J111" s="325">
        <v>40</v>
      </c>
      <c r="K111" s="324">
        <v>10</v>
      </c>
      <c r="L111" s="326">
        <v>10</v>
      </c>
      <c r="M111" s="2"/>
      <c r="N111" s="2"/>
    </row>
    <row r="112" spans="1:14" ht="7.15" customHeight="1" thickBot="1">
      <c r="M112" s="2"/>
      <c r="N112" s="2"/>
    </row>
    <row r="113" spans="1:14" ht="12.95" customHeight="1">
      <c r="A113" s="285" t="s">
        <v>27</v>
      </c>
      <c r="B113" s="301" t="s">
        <v>4</v>
      </c>
      <c r="C113" s="302" t="s">
        <v>5</v>
      </c>
      <c r="D113" s="302" t="s">
        <v>6</v>
      </c>
      <c r="E113" s="303" t="s">
        <v>498</v>
      </c>
      <c r="F113" s="332" t="s">
        <v>8</v>
      </c>
      <c r="G113" s="333" t="s">
        <v>9</v>
      </c>
      <c r="H113" s="304" t="s">
        <v>25</v>
      </c>
      <c r="I113" s="301" t="s">
        <v>11</v>
      </c>
      <c r="J113" s="303" t="s">
        <v>12</v>
      </c>
      <c r="K113" s="301" t="s">
        <v>499</v>
      </c>
      <c r="L113" s="286" t="s">
        <v>500</v>
      </c>
      <c r="M113" s="2"/>
      <c r="N113" s="2"/>
    </row>
    <row r="114" spans="1:14" ht="10.9" customHeight="1">
      <c r="A114" s="287" t="s">
        <v>25</v>
      </c>
      <c r="B114" s="32"/>
      <c r="C114" s="312"/>
      <c r="D114" s="312"/>
      <c r="E114" s="33"/>
      <c r="F114" s="58"/>
      <c r="G114" s="59"/>
      <c r="H114" s="60"/>
      <c r="I114" s="20"/>
      <c r="J114" s="22"/>
      <c r="K114" s="20"/>
      <c r="L114" s="305"/>
      <c r="M114" s="2"/>
      <c r="N114" s="2"/>
    </row>
    <row r="115" spans="1:14" ht="10.9" customHeight="1">
      <c r="A115" s="289" t="s">
        <v>181</v>
      </c>
      <c r="B115" s="40"/>
      <c r="C115" s="314"/>
      <c r="D115" s="314"/>
      <c r="E115" s="41"/>
      <c r="F115" s="42"/>
      <c r="G115" s="43"/>
      <c r="H115" s="60"/>
      <c r="I115" s="24">
        <v>15</v>
      </c>
      <c r="J115" s="25">
        <v>10</v>
      </c>
      <c r="K115" s="24"/>
      <c r="L115" s="306"/>
      <c r="M115" s="2"/>
      <c r="N115" s="2"/>
    </row>
    <row r="116" spans="1:14" ht="10.9" customHeight="1">
      <c r="A116" s="287" t="s">
        <v>184</v>
      </c>
      <c r="B116" s="32"/>
      <c r="C116" s="312">
        <v>2</v>
      </c>
      <c r="D116" s="312"/>
      <c r="E116" s="33"/>
      <c r="F116" s="58"/>
      <c r="G116" s="59"/>
      <c r="H116" s="60"/>
      <c r="I116" s="20">
        <v>5</v>
      </c>
      <c r="J116" s="22">
        <v>15</v>
      </c>
      <c r="K116" s="20"/>
      <c r="L116" s="305">
        <v>10</v>
      </c>
      <c r="M116" s="2"/>
      <c r="N116" s="2"/>
    </row>
    <row r="117" spans="1:14" ht="10.9" customHeight="1">
      <c r="A117" s="289" t="s">
        <v>183</v>
      </c>
      <c r="B117" s="40">
        <v>2</v>
      </c>
      <c r="C117" s="314"/>
      <c r="D117" s="314">
        <v>2</v>
      </c>
      <c r="E117" s="41"/>
      <c r="F117" s="42"/>
      <c r="G117" s="43"/>
      <c r="H117" s="60"/>
      <c r="I117" s="24">
        <v>5</v>
      </c>
      <c r="J117" s="25">
        <v>10</v>
      </c>
      <c r="K117" s="24">
        <v>10</v>
      </c>
      <c r="L117" s="306"/>
      <c r="M117" s="2"/>
      <c r="N117" s="2"/>
    </row>
    <row r="118" spans="1:14" ht="10.9" customHeight="1">
      <c r="A118" s="287" t="s">
        <v>186</v>
      </c>
      <c r="B118" s="32"/>
      <c r="C118" s="312"/>
      <c r="D118" s="312">
        <v>-2</v>
      </c>
      <c r="E118" s="33"/>
      <c r="F118" s="58"/>
      <c r="G118" s="59"/>
      <c r="H118" s="60"/>
      <c r="I118" s="20">
        <v>30</v>
      </c>
      <c r="J118" s="22">
        <v>20</v>
      </c>
      <c r="K118" s="20"/>
      <c r="L118" s="305"/>
      <c r="M118" s="2"/>
      <c r="N118" s="2"/>
    </row>
    <row r="119" spans="1:14" ht="10.9" customHeight="1">
      <c r="A119" s="289" t="s">
        <v>185</v>
      </c>
      <c r="B119" s="40"/>
      <c r="C119" s="314"/>
      <c r="D119" s="314"/>
      <c r="E119" s="41">
        <v>3</v>
      </c>
      <c r="F119" s="42">
        <v>0.125</v>
      </c>
      <c r="G119" s="43">
        <v>0.125</v>
      </c>
      <c r="H119" s="60"/>
      <c r="I119" s="24">
        <v>10</v>
      </c>
      <c r="J119" s="25">
        <v>10</v>
      </c>
      <c r="K119" s="24">
        <v>10</v>
      </c>
      <c r="L119" s="306">
        <v>10</v>
      </c>
      <c r="M119" s="2"/>
      <c r="N119" s="2"/>
    </row>
    <row r="120" spans="1:14" ht="10.9" customHeight="1">
      <c r="A120" s="287" t="s">
        <v>187</v>
      </c>
      <c r="B120" s="32"/>
      <c r="C120" s="312"/>
      <c r="D120" s="312"/>
      <c r="E120" s="33"/>
      <c r="F120" s="58"/>
      <c r="G120" s="59"/>
      <c r="H120" s="60"/>
      <c r="I120" s="20">
        <v>30</v>
      </c>
      <c r="J120" s="22">
        <v>20</v>
      </c>
      <c r="K120" s="20"/>
      <c r="L120" s="305"/>
      <c r="M120" s="2"/>
      <c r="N120" s="2"/>
    </row>
    <row r="121" spans="1:14" ht="10.9" customHeight="1">
      <c r="A121" s="289" t="s">
        <v>188</v>
      </c>
      <c r="B121" s="40">
        <v>5</v>
      </c>
      <c r="C121" s="314"/>
      <c r="D121" s="314">
        <v>3</v>
      </c>
      <c r="E121" s="41"/>
      <c r="F121" s="42"/>
      <c r="G121" s="43"/>
      <c r="H121" s="60"/>
      <c r="I121" s="24">
        <v>5</v>
      </c>
      <c r="J121" s="25">
        <v>15</v>
      </c>
      <c r="K121" s="24">
        <v>20</v>
      </c>
      <c r="L121" s="306"/>
      <c r="M121" s="2"/>
      <c r="N121" s="2"/>
    </row>
    <row r="122" spans="1:14" ht="10.9" customHeight="1">
      <c r="A122" s="287" t="s">
        <v>192</v>
      </c>
      <c r="B122" s="32"/>
      <c r="C122" s="312"/>
      <c r="D122" s="312">
        <v>-2</v>
      </c>
      <c r="E122" s="33"/>
      <c r="F122" s="58"/>
      <c r="G122" s="59"/>
      <c r="H122" s="60"/>
      <c r="I122" s="20">
        <v>30</v>
      </c>
      <c r="J122" s="22">
        <v>25</v>
      </c>
      <c r="K122" s="20"/>
      <c r="L122" s="305"/>
      <c r="M122" s="2"/>
      <c r="N122" s="2"/>
    </row>
    <row r="123" spans="1:14" ht="10.9" customHeight="1">
      <c r="A123" s="289" t="s">
        <v>198</v>
      </c>
      <c r="B123" s="40">
        <v>2</v>
      </c>
      <c r="C123" s="314">
        <v>3</v>
      </c>
      <c r="D123" s="314"/>
      <c r="E123" s="41"/>
      <c r="F123" s="42"/>
      <c r="G123" s="43"/>
      <c r="H123" s="60"/>
      <c r="I123" s="24">
        <v>5</v>
      </c>
      <c r="J123" s="25">
        <v>25</v>
      </c>
      <c r="K123" s="24">
        <v>10</v>
      </c>
      <c r="L123" s="306"/>
      <c r="M123" s="2"/>
      <c r="N123" s="2"/>
    </row>
    <row r="124" spans="1:14" ht="10.9" customHeight="1">
      <c r="A124" s="287" t="s">
        <v>189</v>
      </c>
      <c r="B124" s="32"/>
      <c r="C124" s="312">
        <v>3</v>
      </c>
      <c r="D124" s="312"/>
      <c r="E124" s="33">
        <v>2</v>
      </c>
      <c r="F124" s="58"/>
      <c r="G124" s="59">
        <v>0.25</v>
      </c>
      <c r="H124" s="60"/>
      <c r="I124" s="20">
        <v>5</v>
      </c>
      <c r="J124" s="22">
        <v>35</v>
      </c>
      <c r="K124" s="20"/>
      <c r="L124" s="305">
        <v>10</v>
      </c>
      <c r="M124" s="2"/>
      <c r="N124" s="2"/>
    </row>
    <row r="125" spans="1:14" ht="10.9" customHeight="1">
      <c r="A125" s="289" t="s">
        <v>191</v>
      </c>
      <c r="B125" s="40">
        <v>5</v>
      </c>
      <c r="C125" s="314"/>
      <c r="D125" s="314">
        <v>5</v>
      </c>
      <c r="E125" s="41"/>
      <c r="F125" s="42"/>
      <c r="G125" s="43"/>
      <c r="H125" s="60"/>
      <c r="I125" s="24">
        <v>10</v>
      </c>
      <c r="J125" s="25">
        <v>25</v>
      </c>
      <c r="K125" s="24">
        <v>10</v>
      </c>
      <c r="L125" s="306">
        <v>10</v>
      </c>
      <c r="M125" s="2"/>
      <c r="N125" s="2"/>
    </row>
    <row r="126" spans="1:14" ht="10.9" customHeight="1">
      <c r="A126" s="287" t="s">
        <v>194</v>
      </c>
      <c r="B126" s="32"/>
      <c r="C126" s="312"/>
      <c r="D126" s="312">
        <v>-2</v>
      </c>
      <c r="E126" s="33"/>
      <c r="F126" s="58"/>
      <c r="G126" s="59"/>
      <c r="H126" s="60"/>
      <c r="I126" s="20">
        <v>35</v>
      </c>
      <c r="J126" s="22">
        <v>30</v>
      </c>
      <c r="K126" s="20"/>
      <c r="L126" s="305"/>
      <c r="M126" s="2"/>
      <c r="N126" s="2"/>
    </row>
    <row r="127" spans="1:14" ht="10.9" customHeight="1">
      <c r="A127" s="289" t="s">
        <v>197</v>
      </c>
      <c r="B127" s="40"/>
      <c r="C127" s="314"/>
      <c r="D127" s="314">
        <v>-2</v>
      </c>
      <c r="E127" s="41"/>
      <c r="F127" s="42"/>
      <c r="G127" s="43"/>
      <c r="H127" s="60"/>
      <c r="I127" s="24">
        <v>40</v>
      </c>
      <c r="J127" s="25">
        <v>35</v>
      </c>
      <c r="K127" s="24"/>
      <c r="L127" s="306"/>
      <c r="M127" s="2"/>
      <c r="N127" s="2"/>
    </row>
    <row r="128" spans="1:14" ht="10.9" customHeight="1">
      <c r="A128" s="287" t="s">
        <v>190</v>
      </c>
      <c r="B128" s="32"/>
      <c r="C128" s="312"/>
      <c r="D128" s="312">
        <v>5</v>
      </c>
      <c r="E128" s="33"/>
      <c r="F128" s="58"/>
      <c r="G128" s="59"/>
      <c r="H128" s="60"/>
      <c r="I128" s="20">
        <v>10</v>
      </c>
      <c r="J128" s="22">
        <v>25</v>
      </c>
      <c r="K128" s="20">
        <v>20</v>
      </c>
      <c r="L128" s="305"/>
      <c r="M128" s="2"/>
      <c r="N128" s="2"/>
    </row>
    <row r="129" spans="1:14" ht="10.9" customHeight="1">
      <c r="A129" s="289" t="s">
        <v>202</v>
      </c>
      <c r="B129" s="40">
        <v>3</v>
      </c>
      <c r="C129" s="314">
        <v>5</v>
      </c>
      <c r="D129" s="314"/>
      <c r="E129" s="41"/>
      <c r="F129" s="42"/>
      <c r="G129" s="43"/>
      <c r="H129" s="60"/>
      <c r="I129" s="24">
        <v>10</v>
      </c>
      <c r="J129" s="25">
        <v>35</v>
      </c>
      <c r="K129" s="24">
        <v>10</v>
      </c>
      <c r="L129" s="306"/>
      <c r="M129" s="2"/>
      <c r="N129" s="2"/>
    </row>
    <row r="130" spans="1:14" ht="10.9" customHeight="1">
      <c r="A130" s="287" t="s">
        <v>195</v>
      </c>
      <c r="B130" s="32"/>
      <c r="C130" s="312">
        <v>5</v>
      </c>
      <c r="D130" s="312"/>
      <c r="E130" s="33">
        <v>3</v>
      </c>
      <c r="F130" s="58"/>
      <c r="G130" s="59">
        <v>0.5</v>
      </c>
      <c r="H130" s="60"/>
      <c r="I130" s="20">
        <v>10</v>
      </c>
      <c r="J130" s="22">
        <v>45</v>
      </c>
      <c r="K130" s="20"/>
      <c r="L130" s="305">
        <v>10</v>
      </c>
      <c r="M130" s="2"/>
      <c r="N130" s="2"/>
    </row>
    <row r="131" spans="1:14" ht="10.9" customHeight="1">
      <c r="A131" s="289" t="s">
        <v>193</v>
      </c>
      <c r="B131" s="40"/>
      <c r="C131" s="314"/>
      <c r="D131" s="314"/>
      <c r="E131" s="41">
        <v>5</v>
      </c>
      <c r="F131" s="42">
        <v>0.25</v>
      </c>
      <c r="G131" s="43">
        <v>0.25</v>
      </c>
      <c r="H131" s="60"/>
      <c r="I131" s="24">
        <v>15</v>
      </c>
      <c r="J131" s="25">
        <v>15</v>
      </c>
      <c r="K131" s="24">
        <v>10</v>
      </c>
      <c r="L131" s="306">
        <v>10</v>
      </c>
      <c r="M131" s="2"/>
      <c r="N131" s="2"/>
    </row>
    <row r="132" spans="1:14" ht="10.9" customHeight="1">
      <c r="A132" s="287" t="s">
        <v>199</v>
      </c>
      <c r="B132" s="32">
        <v>5</v>
      </c>
      <c r="C132" s="312"/>
      <c r="D132" s="312"/>
      <c r="E132" s="33">
        <v>3</v>
      </c>
      <c r="F132" s="58"/>
      <c r="G132" s="59"/>
      <c r="H132" s="60"/>
      <c r="I132" s="20">
        <v>40</v>
      </c>
      <c r="J132" s="22">
        <v>20</v>
      </c>
      <c r="K132" s="20">
        <v>10</v>
      </c>
      <c r="L132" s="305"/>
      <c r="M132" s="2"/>
      <c r="N132" s="2"/>
    </row>
    <row r="133" spans="1:14" ht="10.9" customHeight="1">
      <c r="A133" s="289" t="s">
        <v>201</v>
      </c>
      <c r="B133" s="40">
        <v>5</v>
      </c>
      <c r="C133" s="314">
        <v>3</v>
      </c>
      <c r="D133" s="314"/>
      <c r="E133" s="41"/>
      <c r="F133" s="42"/>
      <c r="G133" s="43"/>
      <c r="H133" s="60"/>
      <c r="I133" s="24">
        <v>20</v>
      </c>
      <c r="J133" s="25">
        <v>40</v>
      </c>
      <c r="K133" s="24"/>
      <c r="L133" s="306">
        <v>10</v>
      </c>
      <c r="M133" s="2"/>
      <c r="N133" s="2"/>
    </row>
    <row r="134" spans="1:14" ht="10.9" customHeight="1">
      <c r="A134" s="287" t="s">
        <v>196</v>
      </c>
      <c r="B134" s="32"/>
      <c r="C134" s="312">
        <v>5</v>
      </c>
      <c r="D134" s="312">
        <v>5</v>
      </c>
      <c r="E134" s="33"/>
      <c r="F134" s="58"/>
      <c r="G134" s="59"/>
      <c r="H134" s="60"/>
      <c r="I134" s="20">
        <v>10</v>
      </c>
      <c r="J134" s="22">
        <v>30</v>
      </c>
      <c r="K134" s="20">
        <v>10</v>
      </c>
      <c r="L134" s="305">
        <v>10</v>
      </c>
      <c r="M134" s="2"/>
      <c r="N134" s="2"/>
    </row>
    <row r="135" spans="1:14" ht="10.9" customHeight="1">
      <c r="A135" s="289" t="s">
        <v>182</v>
      </c>
      <c r="B135" s="40"/>
      <c r="C135" s="314"/>
      <c r="D135" s="314"/>
      <c r="E135" s="41">
        <v>7</v>
      </c>
      <c r="F135" s="42"/>
      <c r="G135" s="43"/>
      <c r="H135" s="60"/>
      <c r="I135" s="24">
        <v>30</v>
      </c>
      <c r="J135" s="25">
        <v>30</v>
      </c>
      <c r="K135" s="24"/>
      <c r="L135" s="306"/>
      <c r="M135" s="2"/>
      <c r="N135" s="2"/>
    </row>
    <row r="136" spans="1:14" ht="10.9" customHeight="1" thickBot="1">
      <c r="A136" s="315" t="s">
        <v>200</v>
      </c>
      <c r="B136" s="316">
        <v>5</v>
      </c>
      <c r="C136" s="317">
        <v>5</v>
      </c>
      <c r="D136" s="317">
        <v>5</v>
      </c>
      <c r="E136" s="318">
        <v>5</v>
      </c>
      <c r="F136" s="329"/>
      <c r="G136" s="330"/>
      <c r="H136" s="331"/>
      <c r="I136" s="324">
        <v>10</v>
      </c>
      <c r="J136" s="325">
        <v>10</v>
      </c>
      <c r="K136" s="324"/>
      <c r="L136" s="326"/>
      <c r="M136" s="2"/>
      <c r="N136" s="2"/>
    </row>
    <row r="137" spans="1:14" ht="7.15" customHeight="1" thickBot="1">
      <c r="M137" s="2"/>
      <c r="N137" s="2"/>
    </row>
    <row r="138" spans="1:14" ht="12.95" customHeight="1">
      <c r="A138" s="285" t="s">
        <v>28</v>
      </c>
      <c r="B138" s="301" t="s">
        <v>4</v>
      </c>
      <c r="C138" s="302" t="s">
        <v>5</v>
      </c>
      <c r="D138" s="302" t="s">
        <v>6</v>
      </c>
      <c r="E138" s="303" t="s">
        <v>498</v>
      </c>
      <c r="F138" s="332" t="s">
        <v>8</v>
      </c>
      <c r="G138" s="333" t="s">
        <v>9</v>
      </c>
      <c r="H138" s="304" t="s">
        <v>25</v>
      </c>
      <c r="I138" s="301" t="s">
        <v>11</v>
      </c>
      <c r="J138" s="303" t="s">
        <v>12</v>
      </c>
      <c r="K138" s="301" t="s">
        <v>499</v>
      </c>
      <c r="L138" s="286" t="s">
        <v>500</v>
      </c>
      <c r="M138" s="2"/>
      <c r="N138" s="2"/>
    </row>
    <row r="139" spans="1:14" ht="10.9" customHeight="1">
      <c r="A139" s="287" t="s">
        <v>25</v>
      </c>
      <c r="B139" s="32"/>
      <c r="C139" s="312"/>
      <c r="D139" s="312"/>
      <c r="E139" s="33"/>
      <c r="F139" s="58"/>
      <c r="G139" s="59"/>
      <c r="H139" s="60"/>
      <c r="I139" s="20"/>
      <c r="J139" s="22"/>
      <c r="K139" s="20"/>
      <c r="L139" s="305"/>
      <c r="M139" s="2"/>
      <c r="N139" s="2"/>
    </row>
    <row r="140" spans="1:14" ht="10.9" customHeight="1">
      <c r="A140" s="289" t="s">
        <v>203</v>
      </c>
      <c r="B140" s="40"/>
      <c r="C140" s="314"/>
      <c r="D140" s="314"/>
      <c r="E140" s="41"/>
      <c r="F140" s="42"/>
      <c r="G140" s="43"/>
      <c r="H140" s="60"/>
      <c r="I140" s="24">
        <v>30</v>
      </c>
      <c r="J140" s="25">
        <v>25</v>
      </c>
      <c r="K140" s="24"/>
      <c r="L140" s="306"/>
      <c r="M140" s="2"/>
      <c r="N140" s="2"/>
    </row>
    <row r="141" spans="1:14" ht="10.9" customHeight="1">
      <c r="A141" s="287" t="s">
        <v>206</v>
      </c>
      <c r="B141" s="32">
        <v>2</v>
      </c>
      <c r="C141" s="312"/>
      <c r="D141" s="312">
        <v>2</v>
      </c>
      <c r="E141" s="33"/>
      <c r="F141" s="58"/>
      <c r="G141" s="59"/>
      <c r="H141" s="60"/>
      <c r="I141" s="20">
        <v>25</v>
      </c>
      <c r="J141" s="22">
        <v>20</v>
      </c>
      <c r="K141" s="20">
        <v>10</v>
      </c>
      <c r="L141" s="305"/>
      <c r="M141" s="2"/>
      <c r="N141" s="2"/>
    </row>
    <row r="142" spans="1:14" ht="10.9" customHeight="1">
      <c r="A142" s="289" t="s">
        <v>205</v>
      </c>
      <c r="B142" s="40"/>
      <c r="C142" s="314">
        <v>2</v>
      </c>
      <c r="D142" s="314"/>
      <c r="E142" s="41">
        <v>2</v>
      </c>
      <c r="F142" s="42"/>
      <c r="G142" s="43"/>
      <c r="H142" s="60"/>
      <c r="I142" s="24">
        <v>20</v>
      </c>
      <c r="J142" s="25">
        <v>30</v>
      </c>
      <c r="K142" s="24"/>
      <c r="L142" s="306">
        <v>10</v>
      </c>
      <c r="M142" s="2"/>
      <c r="N142" s="2"/>
    </row>
    <row r="143" spans="1:14" ht="10.9" customHeight="1">
      <c r="A143" s="287" t="s">
        <v>207</v>
      </c>
      <c r="B143" s="32"/>
      <c r="C143" s="312"/>
      <c r="D143" s="312">
        <v>-3</v>
      </c>
      <c r="E143" s="33"/>
      <c r="F143" s="58"/>
      <c r="G143" s="59"/>
      <c r="H143" s="60"/>
      <c r="I143" s="20">
        <v>45</v>
      </c>
      <c r="J143" s="22">
        <v>30</v>
      </c>
      <c r="K143" s="20"/>
      <c r="L143" s="305"/>
      <c r="M143" s="2"/>
      <c r="N143" s="2"/>
    </row>
    <row r="144" spans="1:14" ht="10.9" customHeight="1">
      <c r="A144" s="289" t="s">
        <v>208</v>
      </c>
      <c r="B144" s="40"/>
      <c r="C144" s="314"/>
      <c r="D144" s="314"/>
      <c r="E144" s="41"/>
      <c r="F144" s="42"/>
      <c r="G144" s="43"/>
      <c r="H144" s="60"/>
      <c r="I144" s="24">
        <v>40</v>
      </c>
      <c r="J144" s="25">
        <v>25</v>
      </c>
      <c r="K144" s="24">
        <v>10</v>
      </c>
      <c r="L144" s="306"/>
      <c r="M144" s="2"/>
      <c r="N144" s="2"/>
    </row>
    <row r="145" spans="1:14" ht="10.9" customHeight="1">
      <c r="A145" s="287" t="s">
        <v>212</v>
      </c>
      <c r="B145" s="32">
        <v>3</v>
      </c>
      <c r="C145" s="312"/>
      <c r="D145" s="312">
        <v>3</v>
      </c>
      <c r="E145" s="33"/>
      <c r="F145" s="58"/>
      <c r="G145" s="59"/>
      <c r="H145" s="60"/>
      <c r="I145" s="20">
        <v>30</v>
      </c>
      <c r="J145" s="22">
        <v>20</v>
      </c>
      <c r="K145" s="20">
        <v>20</v>
      </c>
      <c r="L145" s="305"/>
      <c r="M145" s="2"/>
      <c r="N145" s="2"/>
    </row>
    <row r="146" spans="1:14" ht="10.9" customHeight="1">
      <c r="A146" s="289" t="s">
        <v>210</v>
      </c>
      <c r="B146" s="40"/>
      <c r="C146" s="314">
        <v>5</v>
      </c>
      <c r="D146" s="314"/>
      <c r="E146" s="41"/>
      <c r="F146" s="42"/>
      <c r="G146" s="43"/>
      <c r="H146" s="60"/>
      <c r="I146" s="24">
        <v>20</v>
      </c>
      <c r="J146" s="25">
        <v>40</v>
      </c>
      <c r="K146" s="24"/>
      <c r="L146" s="306">
        <v>20</v>
      </c>
      <c r="M146" s="2"/>
      <c r="N146" s="2"/>
    </row>
    <row r="147" spans="1:14" ht="10.9" customHeight="1">
      <c r="A147" s="287" t="s">
        <v>209</v>
      </c>
      <c r="B147" s="32"/>
      <c r="C147" s="312"/>
      <c r="D147" s="312">
        <v>-2</v>
      </c>
      <c r="E147" s="33"/>
      <c r="F147" s="58"/>
      <c r="G147" s="59"/>
      <c r="H147" s="60"/>
      <c r="I147" s="20">
        <v>50</v>
      </c>
      <c r="J147" s="22">
        <v>35</v>
      </c>
      <c r="K147" s="20"/>
      <c r="L147" s="305"/>
      <c r="M147" s="2"/>
      <c r="N147" s="2"/>
    </row>
    <row r="148" spans="1:14" ht="10.9" customHeight="1">
      <c r="A148" s="289" t="s">
        <v>215</v>
      </c>
      <c r="B148" s="40">
        <v>3</v>
      </c>
      <c r="C148" s="314"/>
      <c r="D148" s="314"/>
      <c r="E148" s="41">
        <v>5</v>
      </c>
      <c r="F148" s="42"/>
      <c r="G148" s="43"/>
      <c r="H148" s="60"/>
      <c r="I148" s="24">
        <v>35</v>
      </c>
      <c r="J148" s="25">
        <v>30</v>
      </c>
      <c r="K148" s="24">
        <v>20</v>
      </c>
      <c r="L148" s="306"/>
      <c r="M148" s="2"/>
      <c r="N148" s="2"/>
    </row>
    <row r="149" spans="1:14" ht="10.9" customHeight="1">
      <c r="A149" s="287" t="s">
        <v>213</v>
      </c>
      <c r="B149" s="32">
        <v>5</v>
      </c>
      <c r="C149" s="312"/>
      <c r="D149" s="312"/>
      <c r="E149" s="33">
        <v>3</v>
      </c>
      <c r="F149" s="58"/>
      <c r="G149" s="59"/>
      <c r="H149" s="60"/>
      <c r="I149" s="20">
        <v>40</v>
      </c>
      <c r="J149" s="22">
        <v>25</v>
      </c>
      <c r="K149" s="20"/>
      <c r="L149" s="305"/>
      <c r="M149" s="2"/>
      <c r="N149" s="2"/>
    </row>
    <row r="150" spans="1:14" ht="10.9" customHeight="1">
      <c r="A150" s="289" t="s">
        <v>216</v>
      </c>
      <c r="B150" s="40"/>
      <c r="C150" s="314"/>
      <c r="D150" s="314">
        <v>-3</v>
      </c>
      <c r="E150" s="41"/>
      <c r="F150" s="42"/>
      <c r="G150" s="43"/>
      <c r="H150" s="60"/>
      <c r="I150" s="24">
        <v>55</v>
      </c>
      <c r="J150" s="25">
        <v>40</v>
      </c>
      <c r="K150" s="24"/>
      <c r="L150" s="306"/>
      <c r="M150" s="2"/>
      <c r="N150" s="2"/>
    </row>
    <row r="151" spans="1:14" ht="10.9" customHeight="1">
      <c r="A151" s="287" t="s">
        <v>211</v>
      </c>
      <c r="B151" s="32"/>
      <c r="C151" s="312"/>
      <c r="D151" s="312"/>
      <c r="E151" s="33"/>
      <c r="F151" s="58"/>
      <c r="G151" s="59"/>
      <c r="H151" s="60"/>
      <c r="I151" s="20">
        <v>55</v>
      </c>
      <c r="J151" s="22">
        <v>35</v>
      </c>
      <c r="K151" s="20">
        <v>10</v>
      </c>
      <c r="L151" s="305"/>
      <c r="M151" s="2"/>
      <c r="N151" s="2"/>
    </row>
    <row r="152" spans="1:14" ht="10.9" customHeight="1">
      <c r="A152" s="289" t="s">
        <v>222</v>
      </c>
      <c r="B152" s="40"/>
      <c r="C152" s="314"/>
      <c r="D152" s="314">
        <v>-3</v>
      </c>
      <c r="E152" s="41"/>
      <c r="F152" s="42"/>
      <c r="G152" s="43"/>
      <c r="H152" s="60"/>
      <c r="I152" s="24">
        <v>65</v>
      </c>
      <c r="J152" s="25">
        <v>45</v>
      </c>
      <c r="K152" s="24"/>
      <c r="L152" s="306"/>
      <c r="M152" s="2"/>
      <c r="N152" s="2"/>
    </row>
    <row r="153" spans="1:14" ht="10.9" customHeight="1">
      <c r="A153" s="287" t="s">
        <v>224</v>
      </c>
      <c r="B153" s="32"/>
      <c r="C153" s="312"/>
      <c r="D153" s="312">
        <v>-3</v>
      </c>
      <c r="E153" s="33"/>
      <c r="F153" s="58"/>
      <c r="G153" s="59"/>
      <c r="H153" s="60"/>
      <c r="I153" s="20">
        <v>75</v>
      </c>
      <c r="J153" s="22">
        <v>50</v>
      </c>
      <c r="K153" s="20"/>
      <c r="L153" s="305"/>
      <c r="M153" s="2"/>
      <c r="N153" s="2"/>
    </row>
    <row r="154" spans="1:14" ht="10.9" customHeight="1">
      <c r="A154" s="289" t="s">
        <v>221</v>
      </c>
      <c r="B154" s="40">
        <v>5</v>
      </c>
      <c r="C154" s="314"/>
      <c r="D154" s="314">
        <v>5</v>
      </c>
      <c r="E154" s="41"/>
      <c r="F154" s="42"/>
      <c r="G154" s="43"/>
      <c r="H154" s="60"/>
      <c r="I154" s="24">
        <v>40</v>
      </c>
      <c r="J154" s="25">
        <v>35</v>
      </c>
      <c r="K154" s="24">
        <v>20</v>
      </c>
      <c r="L154" s="306"/>
      <c r="M154" s="2"/>
      <c r="N154" s="2"/>
    </row>
    <row r="155" spans="1:14" ht="10.9" customHeight="1">
      <c r="A155" s="287" t="s">
        <v>217</v>
      </c>
      <c r="B155" s="32"/>
      <c r="C155" s="312">
        <v>5</v>
      </c>
      <c r="D155" s="312"/>
      <c r="E155" s="33">
        <v>5</v>
      </c>
      <c r="F155" s="58"/>
      <c r="G155" s="59"/>
      <c r="H155" s="60"/>
      <c r="I155" s="20">
        <v>25</v>
      </c>
      <c r="J155" s="22">
        <v>50</v>
      </c>
      <c r="K155" s="20"/>
      <c r="L155" s="305">
        <v>20</v>
      </c>
      <c r="M155" s="2"/>
      <c r="N155" s="2"/>
    </row>
    <row r="156" spans="1:14" ht="10.9" customHeight="1">
      <c r="A156" s="289" t="s">
        <v>226</v>
      </c>
      <c r="B156" s="40">
        <v>7</v>
      </c>
      <c r="C156" s="314"/>
      <c r="D156" s="314"/>
      <c r="E156" s="41">
        <v>7</v>
      </c>
      <c r="F156" s="42"/>
      <c r="G156" s="43"/>
      <c r="H156" s="60"/>
      <c r="I156" s="24">
        <v>70</v>
      </c>
      <c r="J156" s="25">
        <v>35</v>
      </c>
      <c r="K156" s="24">
        <v>10</v>
      </c>
      <c r="L156" s="306"/>
      <c r="M156" s="2"/>
      <c r="N156" s="2"/>
    </row>
    <row r="157" spans="1:14" ht="10.9" customHeight="1">
      <c r="A157" s="287" t="s">
        <v>229</v>
      </c>
      <c r="B157" s="32"/>
      <c r="C157" s="312">
        <v>7</v>
      </c>
      <c r="D157" s="312"/>
      <c r="E157" s="33"/>
      <c r="F157" s="58"/>
      <c r="G157" s="59"/>
      <c r="H157" s="60"/>
      <c r="I157" s="20">
        <v>35</v>
      </c>
      <c r="J157" s="22">
        <v>70</v>
      </c>
      <c r="K157" s="20"/>
      <c r="L157" s="305">
        <v>10</v>
      </c>
      <c r="M157" s="2"/>
      <c r="N157" s="2"/>
    </row>
    <row r="158" spans="1:14" ht="10.9" customHeight="1">
      <c r="A158" s="289" t="s">
        <v>228</v>
      </c>
      <c r="B158" s="40">
        <v>5</v>
      </c>
      <c r="C158" s="314"/>
      <c r="D158" s="314"/>
      <c r="E158" s="41"/>
      <c r="F158" s="42">
        <v>0.25</v>
      </c>
      <c r="G158" s="43"/>
      <c r="H158" s="60"/>
      <c r="I158" s="24">
        <v>50</v>
      </c>
      <c r="J158" s="25">
        <v>40</v>
      </c>
      <c r="K158" s="24">
        <v>20</v>
      </c>
      <c r="L158" s="306"/>
      <c r="M158" s="2"/>
      <c r="N158" s="2"/>
    </row>
    <row r="159" spans="1:14" ht="10.9" customHeight="1">
      <c r="A159" s="287" t="s">
        <v>231</v>
      </c>
      <c r="B159" s="32">
        <v>5</v>
      </c>
      <c r="C159" s="312">
        <v>5</v>
      </c>
      <c r="D159" s="312"/>
      <c r="E159" s="33"/>
      <c r="F159" s="58"/>
      <c r="G159" s="59"/>
      <c r="H159" s="60"/>
      <c r="I159" s="20">
        <v>50</v>
      </c>
      <c r="J159" s="22">
        <v>50</v>
      </c>
      <c r="K159" s="20">
        <v>10</v>
      </c>
      <c r="L159" s="305">
        <v>10</v>
      </c>
      <c r="M159" s="2"/>
      <c r="N159" s="2"/>
    </row>
    <row r="160" spans="1:14" ht="10.9" customHeight="1">
      <c r="A160" s="289" t="s">
        <v>218</v>
      </c>
      <c r="B160" s="40"/>
      <c r="C160" s="314">
        <v>5</v>
      </c>
      <c r="D160" s="314"/>
      <c r="E160" s="41"/>
      <c r="F160" s="42"/>
      <c r="G160" s="43">
        <v>0.25</v>
      </c>
      <c r="H160" s="60"/>
      <c r="I160" s="24">
        <v>40</v>
      </c>
      <c r="J160" s="25">
        <v>50</v>
      </c>
      <c r="K160" s="24"/>
      <c r="L160" s="306">
        <v>20</v>
      </c>
      <c r="M160" s="2"/>
      <c r="N160" s="2"/>
    </row>
    <row r="161" spans="1:14" ht="10.9" customHeight="1">
      <c r="A161" s="287" t="s">
        <v>214</v>
      </c>
      <c r="B161" s="32"/>
      <c r="C161" s="312">
        <v>3</v>
      </c>
      <c r="D161" s="312">
        <v>3</v>
      </c>
      <c r="E161" s="33"/>
      <c r="F161" s="58"/>
      <c r="G161" s="59"/>
      <c r="H161" s="60"/>
      <c r="I161" s="20">
        <v>25</v>
      </c>
      <c r="J161" s="22">
        <v>30</v>
      </c>
      <c r="K161" s="20">
        <v>10</v>
      </c>
      <c r="L161" s="305">
        <v>10</v>
      </c>
      <c r="M161" s="2"/>
      <c r="N161" s="2"/>
    </row>
    <row r="162" spans="1:14" ht="10.9" customHeight="1">
      <c r="A162" s="289" t="s">
        <v>219</v>
      </c>
      <c r="B162" s="40"/>
      <c r="C162" s="314"/>
      <c r="D162" s="314">
        <v>3</v>
      </c>
      <c r="E162" s="41">
        <v>3</v>
      </c>
      <c r="F162" s="42"/>
      <c r="G162" s="43"/>
      <c r="H162" s="60"/>
      <c r="I162" s="24">
        <v>30</v>
      </c>
      <c r="J162" s="25">
        <v>35</v>
      </c>
      <c r="K162" s="24">
        <v>10</v>
      </c>
      <c r="L162" s="306">
        <v>10</v>
      </c>
      <c r="M162" s="2"/>
      <c r="N162" s="2"/>
    </row>
    <row r="163" spans="1:14" ht="10.9" customHeight="1">
      <c r="A163" s="287" t="s">
        <v>220</v>
      </c>
      <c r="B163" s="32"/>
      <c r="C163" s="312"/>
      <c r="D163" s="312">
        <v>5</v>
      </c>
      <c r="E163" s="33">
        <v>5</v>
      </c>
      <c r="F163" s="58"/>
      <c r="G163" s="59"/>
      <c r="H163" s="60"/>
      <c r="I163" s="20">
        <v>35</v>
      </c>
      <c r="J163" s="22">
        <v>40</v>
      </c>
      <c r="K163" s="20">
        <v>10</v>
      </c>
      <c r="L163" s="305">
        <v>10</v>
      </c>
      <c r="M163" s="2"/>
      <c r="N163" s="2"/>
    </row>
    <row r="164" spans="1:14" ht="10.9" customHeight="1">
      <c r="A164" s="289" t="s">
        <v>223</v>
      </c>
      <c r="B164" s="40"/>
      <c r="C164" s="314">
        <v>5</v>
      </c>
      <c r="D164" s="314">
        <v>5</v>
      </c>
      <c r="E164" s="41"/>
      <c r="F164" s="42"/>
      <c r="G164" s="43"/>
      <c r="H164" s="60"/>
      <c r="I164" s="24">
        <v>40</v>
      </c>
      <c r="J164" s="25">
        <v>45</v>
      </c>
      <c r="K164" s="24">
        <v>10</v>
      </c>
      <c r="L164" s="306">
        <v>10</v>
      </c>
      <c r="M164" s="2"/>
      <c r="N164" s="2"/>
    </row>
    <row r="165" spans="1:14" ht="10.9" customHeight="1">
      <c r="A165" s="287" t="s">
        <v>225</v>
      </c>
      <c r="B165" s="32"/>
      <c r="C165" s="312">
        <v>7</v>
      </c>
      <c r="D165" s="312"/>
      <c r="E165" s="33">
        <v>7</v>
      </c>
      <c r="F165" s="58"/>
      <c r="G165" s="59"/>
      <c r="H165" s="60"/>
      <c r="I165" s="20">
        <v>50</v>
      </c>
      <c r="J165" s="22">
        <v>55</v>
      </c>
      <c r="K165" s="20">
        <v>10</v>
      </c>
      <c r="L165" s="305">
        <v>10</v>
      </c>
      <c r="M165" s="2"/>
      <c r="N165" s="2"/>
    </row>
    <row r="166" spans="1:14" ht="10.9" customHeight="1">
      <c r="A166" s="289" t="s">
        <v>204</v>
      </c>
      <c r="B166" s="40"/>
      <c r="C166" s="314"/>
      <c r="D166" s="314">
        <v>-3</v>
      </c>
      <c r="E166" s="41"/>
      <c r="F166" s="42">
        <v>0.25</v>
      </c>
      <c r="G166" s="43"/>
      <c r="H166" s="60"/>
      <c r="I166" s="24">
        <v>60</v>
      </c>
      <c r="J166" s="25">
        <v>60</v>
      </c>
      <c r="K166" s="24"/>
      <c r="L166" s="306"/>
      <c r="M166" s="2"/>
      <c r="N166" s="2"/>
    </row>
    <row r="167" spans="1:14" ht="10.9" customHeight="1">
      <c r="A167" s="287" t="s">
        <v>227</v>
      </c>
      <c r="B167" s="32"/>
      <c r="C167" s="312"/>
      <c r="D167" s="312">
        <v>7</v>
      </c>
      <c r="E167" s="33"/>
      <c r="F167" s="58"/>
      <c r="G167" s="59"/>
      <c r="H167" s="60"/>
      <c r="I167" s="20">
        <v>35</v>
      </c>
      <c r="J167" s="22">
        <v>35</v>
      </c>
      <c r="K167" s="20">
        <v>20</v>
      </c>
      <c r="L167" s="305">
        <v>20</v>
      </c>
      <c r="M167" s="2"/>
      <c r="N167" s="2"/>
    </row>
    <row r="168" spans="1:14" ht="10.9" customHeight="1" thickBot="1">
      <c r="A168" s="334" t="s">
        <v>230</v>
      </c>
      <c r="B168" s="335">
        <v>-7</v>
      </c>
      <c r="C168" s="336"/>
      <c r="D168" s="336">
        <v>-7</v>
      </c>
      <c r="E168" s="337"/>
      <c r="F168" s="338"/>
      <c r="G168" s="339"/>
      <c r="H168" s="331"/>
      <c r="I168" s="307">
        <v>70</v>
      </c>
      <c r="J168" s="309">
        <v>70</v>
      </c>
      <c r="K168" s="307"/>
      <c r="L168" s="311"/>
      <c r="M168" s="2"/>
      <c r="N168" s="2"/>
    </row>
    <row r="169" spans="1:14" ht="7.15" customHeight="1" thickBot="1"/>
    <row r="170" spans="1:14" ht="12.95" customHeight="1">
      <c r="A170" s="285" t="s">
        <v>29</v>
      </c>
      <c r="B170" s="301" t="s">
        <v>4</v>
      </c>
      <c r="C170" s="302" t="s">
        <v>5</v>
      </c>
      <c r="D170" s="302" t="s">
        <v>6</v>
      </c>
      <c r="E170" s="303" t="s">
        <v>498</v>
      </c>
      <c r="F170" s="332" t="s">
        <v>8</v>
      </c>
      <c r="G170" s="333" t="s">
        <v>9</v>
      </c>
      <c r="H170" s="304" t="s">
        <v>25</v>
      </c>
      <c r="I170" s="301" t="s">
        <v>11</v>
      </c>
      <c r="J170" s="303" t="s">
        <v>12</v>
      </c>
      <c r="K170" s="301" t="s">
        <v>499</v>
      </c>
      <c r="L170" s="303" t="s">
        <v>500</v>
      </c>
      <c r="M170" s="301" t="s">
        <v>506</v>
      </c>
      <c r="N170" s="286" t="s">
        <v>507</v>
      </c>
    </row>
    <row r="171" spans="1:14" ht="10.9" customHeight="1">
      <c r="A171" s="287" t="s">
        <v>25</v>
      </c>
      <c r="B171" s="32"/>
      <c r="C171" s="312"/>
      <c r="D171" s="312"/>
      <c r="E171" s="33"/>
      <c r="F171" s="58"/>
      <c r="G171" s="59"/>
      <c r="H171" s="60"/>
      <c r="I171" s="32"/>
      <c r="J171" s="33"/>
      <c r="K171" s="61"/>
      <c r="L171" s="62"/>
      <c r="M171" s="63"/>
      <c r="N171" s="340"/>
    </row>
    <row r="172" spans="1:14" ht="10.9" customHeight="1">
      <c r="A172" s="289" t="s">
        <v>232</v>
      </c>
      <c r="B172" s="40">
        <v>2</v>
      </c>
      <c r="C172" s="314"/>
      <c r="D172" s="314"/>
      <c r="E172" s="41">
        <v>2</v>
      </c>
      <c r="F172" s="42"/>
      <c r="G172" s="43"/>
      <c r="H172" s="60"/>
      <c r="I172" s="40">
        <v>5</v>
      </c>
      <c r="J172" s="41"/>
      <c r="K172" s="40"/>
      <c r="L172" s="41"/>
      <c r="M172" s="64"/>
      <c r="N172" s="341"/>
    </row>
    <row r="173" spans="1:14" ht="10.9" customHeight="1">
      <c r="A173" s="287" t="s">
        <v>233</v>
      </c>
      <c r="B173" s="32"/>
      <c r="C173" s="312">
        <v>2</v>
      </c>
      <c r="D173" s="312"/>
      <c r="E173" s="33">
        <v>2</v>
      </c>
      <c r="F173" s="58"/>
      <c r="G173" s="59"/>
      <c r="H173" s="60"/>
      <c r="I173" s="32"/>
      <c r="J173" s="33">
        <v>5</v>
      </c>
      <c r="K173" s="32"/>
      <c r="L173" s="33"/>
      <c r="M173" s="65"/>
      <c r="N173" s="342"/>
    </row>
    <row r="174" spans="1:14" ht="10.9" customHeight="1">
      <c r="A174" s="289" t="s">
        <v>234</v>
      </c>
      <c r="B174" s="40">
        <v>3</v>
      </c>
      <c r="C174" s="314"/>
      <c r="D174" s="314"/>
      <c r="E174" s="41">
        <v>3</v>
      </c>
      <c r="F174" s="42"/>
      <c r="G174" s="43"/>
      <c r="H174" s="60"/>
      <c r="I174" s="40">
        <v>10</v>
      </c>
      <c r="J174" s="41"/>
      <c r="K174" s="40"/>
      <c r="L174" s="41"/>
      <c r="M174" s="64"/>
      <c r="N174" s="341"/>
    </row>
    <row r="175" spans="1:14" ht="10.9" customHeight="1">
      <c r="A175" s="287" t="s">
        <v>235</v>
      </c>
      <c r="B175" s="32"/>
      <c r="C175" s="312">
        <v>3</v>
      </c>
      <c r="D175" s="312"/>
      <c r="E175" s="33">
        <v>3</v>
      </c>
      <c r="F175" s="58"/>
      <c r="G175" s="59"/>
      <c r="H175" s="60"/>
      <c r="I175" s="32"/>
      <c r="J175" s="33">
        <v>10</v>
      </c>
      <c r="K175" s="32"/>
      <c r="L175" s="33"/>
      <c r="M175" s="65"/>
      <c r="N175" s="342"/>
    </row>
    <row r="176" spans="1:14" ht="10.9" customHeight="1">
      <c r="A176" s="289" t="s">
        <v>236</v>
      </c>
      <c r="B176" s="40">
        <v>5</v>
      </c>
      <c r="C176" s="314"/>
      <c r="D176" s="314"/>
      <c r="E176" s="41">
        <v>5</v>
      </c>
      <c r="F176" s="42"/>
      <c r="G176" s="43"/>
      <c r="H176" s="60"/>
      <c r="I176" s="40">
        <v>15</v>
      </c>
      <c r="J176" s="41"/>
      <c r="K176" s="40"/>
      <c r="L176" s="41"/>
      <c r="M176" s="64"/>
      <c r="N176" s="341"/>
    </row>
    <row r="177" spans="1:14" ht="10.9" customHeight="1">
      <c r="A177" s="287" t="s">
        <v>237</v>
      </c>
      <c r="B177" s="32"/>
      <c r="C177" s="312">
        <v>5</v>
      </c>
      <c r="D177" s="312"/>
      <c r="E177" s="33">
        <v>5</v>
      </c>
      <c r="F177" s="58"/>
      <c r="G177" s="59"/>
      <c r="H177" s="60"/>
      <c r="I177" s="32"/>
      <c r="J177" s="33">
        <v>15</v>
      </c>
      <c r="K177" s="32"/>
      <c r="L177" s="33"/>
      <c r="M177" s="65"/>
      <c r="N177" s="342"/>
    </row>
    <row r="178" spans="1:14" ht="10.9" customHeight="1">
      <c r="A178" s="289" t="s">
        <v>238</v>
      </c>
      <c r="B178" s="40"/>
      <c r="C178" s="314"/>
      <c r="D178" s="314"/>
      <c r="E178" s="41"/>
      <c r="F178" s="42"/>
      <c r="G178" s="43"/>
      <c r="H178" s="60"/>
      <c r="I178" s="40"/>
      <c r="J178" s="41"/>
      <c r="K178" s="40">
        <v>20</v>
      </c>
      <c r="L178" s="41">
        <v>20</v>
      </c>
      <c r="M178" s="64"/>
      <c r="N178" s="341"/>
    </row>
    <row r="179" spans="1:14" ht="10.9" customHeight="1">
      <c r="A179" s="287" t="s">
        <v>239</v>
      </c>
      <c r="B179" s="32"/>
      <c r="C179" s="312"/>
      <c r="D179" s="312"/>
      <c r="E179" s="33">
        <v>7</v>
      </c>
      <c r="F179" s="58"/>
      <c r="G179" s="59"/>
      <c r="H179" s="60"/>
      <c r="I179" s="32"/>
      <c r="J179" s="33"/>
      <c r="K179" s="32"/>
      <c r="L179" s="33"/>
      <c r="M179" s="65"/>
      <c r="N179" s="342"/>
    </row>
    <row r="180" spans="1:14" ht="10.9" customHeight="1">
      <c r="A180" s="289" t="s">
        <v>240</v>
      </c>
      <c r="B180" s="40"/>
      <c r="C180" s="314"/>
      <c r="D180" s="314"/>
      <c r="E180" s="41"/>
      <c r="F180" s="42"/>
      <c r="G180" s="43"/>
      <c r="H180" s="60"/>
      <c r="I180" s="40">
        <v>20</v>
      </c>
      <c r="J180" s="41"/>
      <c r="K180" s="40"/>
      <c r="L180" s="41"/>
      <c r="M180" s="64"/>
      <c r="N180" s="341"/>
    </row>
    <row r="181" spans="1:14" ht="10.9" customHeight="1">
      <c r="A181" s="287" t="s">
        <v>241</v>
      </c>
      <c r="B181" s="32"/>
      <c r="C181" s="312"/>
      <c r="D181" s="312"/>
      <c r="E181" s="33"/>
      <c r="F181" s="58"/>
      <c r="G181" s="59"/>
      <c r="H181" s="60"/>
      <c r="I181" s="32"/>
      <c r="J181" s="33">
        <v>20</v>
      </c>
      <c r="K181" s="32"/>
      <c r="L181" s="33"/>
      <c r="M181" s="65"/>
      <c r="N181" s="342"/>
    </row>
    <row r="182" spans="1:14" ht="10.9" customHeight="1">
      <c r="A182" s="289" t="s">
        <v>242</v>
      </c>
      <c r="B182" s="40"/>
      <c r="C182" s="314"/>
      <c r="D182" s="314"/>
      <c r="E182" s="41"/>
      <c r="F182" s="42"/>
      <c r="G182" s="43"/>
      <c r="H182" s="60"/>
      <c r="I182" s="40"/>
      <c r="J182" s="41"/>
      <c r="K182" s="40">
        <v>20</v>
      </c>
      <c r="L182" s="41"/>
      <c r="M182" s="64"/>
      <c r="N182" s="341"/>
    </row>
    <row r="183" spans="1:14" ht="10.9" customHeight="1">
      <c r="A183" s="287" t="s">
        <v>243</v>
      </c>
      <c r="B183" s="32"/>
      <c r="C183" s="312"/>
      <c r="D183" s="312"/>
      <c r="E183" s="33">
        <v>5</v>
      </c>
      <c r="F183" s="58"/>
      <c r="G183" s="59"/>
      <c r="H183" s="60"/>
      <c r="I183" s="32"/>
      <c r="J183" s="33"/>
      <c r="K183" s="32"/>
      <c r="L183" s="33"/>
      <c r="M183" s="65"/>
      <c r="N183" s="342"/>
    </row>
    <row r="184" spans="1:14" ht="10.9" customHeight="1">
      <c r="A184" s="289" t="s">
        <v>244</v>
      </c>
      <c r="B184" s="40"/>
      <c r="C184" s="314"/>
      <c r="D184" s="314"/>
      <c r="E184" s="41"/>
      <c r="F184" s="42"/>
      <c r="G184" s="43"/>
      <c r="H184" s="60"/>
      <c r="I184" s="40"/>
      <c r="J184" s="41"/>
      <c r="K184" s="40"/>
      <c r="L184" s="41"/>
      <c r="M184" s="64"/>
      <c r="N184" s="341"/>
    </row>
    <row r="185" spans="1:14" ht="10.9" customHeight="1">
      <c r="A185" s="287" t="s">
        <v>245</v>
      </c>
      <c r="B185" s="32"/>
      <c r="C185" s="312"/>
      <c r="D185" s="312"/>
      <c r="E185" s="33"/>
      <c r="F185" s="58"/>
      <c r="G185" s="59"/>
      <c r="H185" s="60"/>
      <c r="I185" s="32">
        <v>5</v>
      </c>
      <c r="J185" s="33">
        <v>15</v>
      </c>
      <c r="K185" s="32"/>
      <c r="L185" s="33"/>
      <c r="M185" s="65"/>
      <c r="N185" s="342"/>
    </row>
    <row r="186" spans="1:14" ht="10.9" customHeight="1">
      <c r="A186" s="289" t="s">
        <v>246</v>
      </c>
      <c r="B186" s="40"/>
      <c r="C186" s="314"/>
      <c r="D186" s="314"/>
      <c r="E186" s="41"/>
      <c r="F186" s="42"/>
      <c r="G186" s="43"/>
      <c r="H186" s="60"/>
      <c r="I186" s="40">
        <v>15</v>
      </c>
      <c r="J186" s="41">
        <v>5</v>
      </c>
      <c r="K186" s="40"/>
      <c r="L186" s="41"/>
      <c r="M186" s="64"/>
      <c r="N186" s="341"/>
    </row>
    <row r="187" spans="1:14" ht="10.9" customHeight="1">
      <c r="A187" s="287" t="s">
        <v>247</v>
      </c>
      <c r="B187" s="32"/>
      <c r="C187" s="312"/>
      <c r="D187" s="312"/>
      <c r="E187" s="33"/>
      <c r="F187" s="58"/>
      <c r="G187" s="59"/>
      <c r="H187" s="60"/>
      <c r="I187" s="32"/>
      <c r="J187" s="33"/>
      <c r="K187" s="32"/>
      <c r="L187" s="33"/>
      <c r="M187" s="65"/>
      <c r="N187" s="342"/>
    </row>
    <row r="188" spans="1:14" ht="10.9" customHeight="1">
      <c r="A188" s="289" t="s">
        <v>248</v>
      </c>
      <c r="B188" s="40"/>
      <c r="C188" s="314"/>
      <c r="D188" s="314"/>
      <c r="E188" s="41"/>
      <c r="F188" s="42"/>
      <c r="G188" s="43"/>
      <c r="H188" s="60"/>
      <c r="I188" s="40"/>
      <c r="J188" s="41"/>
      <c r="K188" s="40"/>
      <c r="L188" s="41"/>
      <c r="M188" s="64"/>
      <c r="N188" s="341"/>
    </row>
    <row r="189" spans="1:14" ht="10.9" customHeight="1">
      <c r="A189" s="287" t="s">
        <v>249</v>
      </c>
      <c r="B189" s="32">
        <v>5</v>
      </c>
      <c r="C189" s="312"/>
      <c r="D189" s="312">
        <v>3</v>
      </c>
      <c r="E189" s="33"/>
      <c r="F189" s="58">
        <v>0.125</v>
      </c>
      <c r="G189" s="59"/>
      <c r="H189" s="60"/>
      <c r="I189" s="32"/>
      <c r="J189" s="33"/>
      <c r="K189" s="32">
        <v>10</v>
      </c>
      <c r="L189" s="33"/>
      <c r="M189" s="65"/>
      <c r="N189" s="342"/>
    </row>
    <row r="190" spans="1:14" ht="10.9" customHeight="1">
      <c r="A190" s="289" t="s">
        <v>250</v>
      </c>
      <c r="B190" s="40"/>
      <c r="C190" s="314">
        <v>5</v>
      </c>
      <c r="D190" s="314">
        <v>3</v>
      </c>
      <c r="E190" s="41"/>
      <c r="F190" s="42"/>
      <c r="G190" s="43"/>
      <c r="H190" s="60"/>
      <c r="I190" s="40"/>
      <c r="J190" s="41"/>
      <c r="K190" s="40"/>
      <c r="L190" s="41">
        <v>10</v>
      </c>
      <c r="M190" s="64"/>
      <c r="N190" s="341"/>
    </row>
    <row r="191" spans="1:14" ht="10.9" customHeight="1">
      <c r="A191" s="287" t="s">
        <v>251</v>
      </c>
      <c r="B191" s="32"/>
      <c r="C191" s="312"/>
      <c r="D191" s="312">
        <v>7</v>
      </c>
      <c r="E191" s="33">
        <v>5</v>
      </c>
      <c r="F191" s="58"/>
      <c r="G191" s="59"/>
      <c r="H191" s="60"/>
      <c r="I191" s="32"/>
      <c r="J191" s="33"/>
      <c r="K191" s="32">
        <v>10</v>
      </c>
      <c r="L191" s="33">
        <v>10</v>
      </c>
      <c r="M191" s="65"/>
      <c r="N191" s="342"/>
    </row>
    <row r="192" spans="1:14" ht="10.9" customHeight="1">
      <c r="A192" s="289" t="s">
        <v>252</v>
      </c>
      <c r="B192" s="40"/>
      <c r="C192" s="314"/>
      <c r="D192" s="314"/>
      <c r="E192" s="41"/>
      <c r="F192" s="42"/>
      <c r="G192" s="43"/>
      <c r="H192" s="60"/>
      <c r="I192" s="40">
        <v>20</v>
      </c>
      <c r="J192" s="41">
        <v>20</v>
      </c>
      <c r="K192" s="40"/>
      <c r="L192" s="41"/>
      <c r="M192" s="64"/>
      <c r="N192" s="341"/>
    </row>
    <row r="193" spans="1:14" ht="10.9" customHeight="1">
      <c r="A193" s="287" t="s">
        <v>253</v>
      </c>
      <c r="B193" s="32"/>
      <c r="C193" s="312"/>
      <c r="D193" s="312">
        <v>7</v>
      </c>
      <c r="E193" s="33"/>
      <c r="F193" s="58"/>
      <c r="G193" s="59"/>
      <c r="H193" s="60"/>
      <c r="I193" s="32"/>
      <c r="J193" s="33"/>
      <c r="K193" s="32"/>
      <c r="L193" s="33"/>
      <c r="M193" s="65"/>
      <c r="N193" s="342"/>
    </row>
    <row r="194" spans="1:14" ht="10.9" customHeight="1">
      <c r="A194" s="289" t="s">
        <v>254</v>
      </c>
      <c r="B194" s="40">
        <v>7</v>
      </c>
      <c r="C194" s="314"/>
      <c r="D194" s="314"/>
      <c r="E194" s="41"/>
      <c r="F194" s="42"/>
      <c r="G194" s="43"/>
      <c r="H194" s="60"/>
      <c r="I194" s="40"/>
      <c r="J194" s="41"/>
      <c r="K194" s="40"/>
      <c r="L194" s="41"/>
      <c r="M194" s="49">
        <v>0.25</v>
      </c>
      <c r="N194" s="341"/>
    </row>
    <row r="195" spans="1:14" ht="10.9" customHeight="1">
      <c r="A195" s="287" t="s">
        <v>255</v>
      </c>
      <c r="B195" s="32"/>
      <c r="C195" s="312">
        <v>7</v>
      </c>
      <c r="D195" s="312"/>
      <c r="E195" s="33"/>
      <c r="F195" s="58"/>
      <c r="G195" s="59">
        <v>0.5</v>
      </c>
      <c r="H195" s="60"/>
      <c r="I195" s="32"/>
      <c r="J195" s="33"/>
      <c r="K195" s="32"/>
      <c r="L195" s="33">
        <v>20</v>
      </c>
      <c r="M195" s="65"/>
      <c r="N195" s="342"/>
    </row>
    <row r="196" spans="1:14" ht="10.9" customHeight="1">
      <c r="A196" s="289" t="s">
        <v>256</v>
      </c>
      <c r="B196" s="40">
        <v>5</v>
      </c>
      <c r="C196" s="314">
        <v>5</v>
      </c>
      <c r="D196" s="314">
        <v>5</v>
      </c>
      <c r="E196" s="41">
        <v>5</v>
      </c>
      <c r="F196" s="42">
        <v>0.125</v>
      </c>
      <c r="G196" s="43">
        <v>0.125</v>
      </c>
      <c r="H196" s="60"/>
      <c r="I196" s="40"/>
      <c r="J196" s="41"/>
      <c r="K196" s="40"/>
      <c r="L196" s="41"/>
      <c r="M196" s="64"/>
      <c r="N196" s="341"/>
    </row>
    <row r="197" spans="1:14" ht="10.9" customHeight="1">
      <c r="A197" s="287" t="s">
        <v>257</v>
      </c>
      <c r="B197" s="32">
        <v>7</v>
      </c>
      <c r="C197" s="312">
        <v>7</v>
      </c>
      <c r="D197" s="312"/>
      <c r="E197" s="33"/>
      <c r="F197" s="58">
        <v>0.25</v>
      </c>
      <c r="G197" s="59">
        <v>0.25</v>
      </c>
      <c r="H197" s="60"/>
      <c r="I197" s="32"/>
      <c r="J197" s="33"/>
      <c r="K197" s="32"/>
      <c r="L197" s="33"/>
      <c r="M197" s="65"/>
      <c r="N197" s="342"/>
    </row>
    <row r="198" spans="1:14" ht="10.9" customHeight="1">
      <c r="A198" s="289" t="s">
        <v>258</v>
      </c>
      <c r="B198" s="40"/>
      <c r="C198" s="314"/>
      <c r="D198" s="314"/>
      <c r="E198" s="41"/>
      <c r="F198" s="42">
        <v>0.25</v>
      </c>
      <c r="G198" s="43"/>
      <c r="H198" s="60"/>
      <c r="I198" s="40">
        <v>10</v>
      </c>
      <c r="J198" s="41">
        <v>10</v>
      </c>
      <c r="K198" s="40"/>
      <c r="L198" s="41"/>
      <c r="M198" s="49">
        <v>0.25</v>
      </c>
      <c r="N198" s="341"/>
    </row>
    <row r="199" spans="1:14" ht="10.9" customHeight="1">
      <c r="A199" s="287" t="s">
        <v>259</v>
      </c>
      <c r="B199" s="32"/>
      <c r="C199" s="312"/>
      <c r="D199" s="312"/>
      <c r="E199" s="33"/>
      <c r="F199" s="58"/>
      <c r="G199" s="59">
        <v>0.25</v>
      </c>
      <c r="H199" s="60"/>
      <c r="I199" s="32"/>
      <c r="J199" s="33"/>
      <c r="K199" s="32"/>
      <c r="L199" s="33"/>
      <c r="M199" s="65"/>
      <c r="N199" s="343">
        <v>0.25</v>
      </c>
    </row>
    <row r="200" spans="1:14" ht="10.9" customHeight="1">
      <c r="A200" s="289" t="s">
        <v>1281</v>
      </c>
      <c r="B200" s="40"/>
      <c r="C200" s="314"/>
      <c r="D200" s="314">
        <v>5</v>
      </c>
      <c r="E200" s="41"/>
      <c r="F200" s="42"/>
      <c r="G200" s="43"/>
      <c r="H200" s="60"/>
      <c r="I200" s="40"/>
      <c r="J200" s="41"/>
      <c r="K200" s="40"/>
      <c r="L200" s="41"/>
      <c r="M200" s="49">
        <v>0.25</v>
      </c>
      <c r="N200" s="341"/>
    </row>
    <row r="201" spans="1:14" ht="10.9" customHeight="1">
      <c r="A201" s="287" t="s">
        <v>262</v>
      </c>
      <c r="B201" s="32"/>
      <c r="C201" s="312"/>
      <c r="D201" s="312"/>
      <c r="E201" s="33">
        <v>5</v>
      </c>
      <c r="F201" s="58"/>
      <c r="G201" s="59"/>
      <c r="H201" s="60"/>
      <c r="I201" s="32"/>
      <c r="J201" s="33"/>
      <c r="K201" s="32"/>
      <c r="L201" s="33"/>
      <c r="M201" s="65"/>
      <c r="N201" s="343">
        <v>0.25</v>
      </c>
    </row>
    <row r="202" spans="1:14" ht="10.9" customHeight="1">
      <c r="A202" s="289" t="s">
        <v>265</v>
      </c>
      <c r="B202" s="40">
        <v>3</v>
      </c>
      <c r="C202" s="314"/>
      <c r="D202" s="314">
        <v>5</v>
      </c>
      <c r="E202" s="41"/>
      <c r="F202" s="42"/>
      <c r="G202" s="43"/>
      <c r="H202" s="60"/>
      <c r="I202" s="40"/>
      <c r="J202" s="41"/>
      <c r="K202" s="40">
        <v>20</v>
      </c>
      <c r="L202" s="41"/>
      <c r="M202" s="64"/>
      <c r="N202" s="341"/>
    </row>
    <row r="203" spans="1:14" ht="10.9" customHeight="1">
      <c r="A203" s="287" t="s">
        <v>263</v>
      </c>
      <c r="B203" s="32"/>
      <c r="C203" s="312">
        <v>3</v>
      </c>
      <c r="D203" s="312">
        <v>5</v>
      </c>
      <c r="E203" s="33"/>
      <c r="F203" s="58"/>
      <c r="G203" s="59"/>
      <c r="H203" s="60"/>
      <c r="I203" s="32"/>
      <c r="J203" s="33"/>
      <c r="K203" s="32"/>
      <c r="L203" s="33">
        <v>20</v>
      </c>
      <c r="M203" s="65"/>
      <c r="N203" s="342"/>
    </row>
    <row r="204" spans="1:14" ht="10.9" customHeight="1">
      <c r="A204" s="289" t="s">
        <v>264</v>
      </c>
      <c r="B204" s="40">
        <v>5</v>
      </c>
      <c r="C204" s="314"/>
      <c r="D204" s="314">
        <v>3</v>
      </c>
      <c r="E204" s="41"/>
      <c r="F204" s="42"/>
      <c r="G204" s="43"/>
      <c r="H204" s="60"/>
      <c r="I204" s="40"/>
      <c r="J204" s="41"/>
      <c r="K204" s="40">
        <v>10</v>
      </c>
      <c r="L204" s="41"/>
      <c r="M204" s="49">
        <v>0.25</v>
      </c>
      <c r="N204" s="341"/>
    </row>
    <row r="205" spans="1:14" ht="10.9" customHeight="1">
      <c r="A205" s="287" t="s">
        <v>267</v>
      </c>
      <c r="B205" s="32"/>
      <c r="C205" s="312">
        <v>5</v>
      </c>
      <c r="D205" s="312">
        <v>3</v>
      </c>
      <c r="E205" s="33"/>
      <c r="F205" s="58"/>
      <c r="G205" s="59"/>
      <c r="H205" s="60"/>
      <c r="I205" s="32"/>
      <c r="J205" s="33"/>
      <c r="K205" s="32"/>
      <c r="L205" s="33">
        <v>10</v>
      </c>
      <c r="M205" s="65"/>
      <c r="N205" s="343">
        <v>0.25</v>
      </c>
    </row>
    <row r="206" spans="1:14" ht="10.9" customHeight="1">
      <c r="A206" s="289" t="s">
        <v>274</v>
      </c>
      <c r="B206" s="40"/>
      <c r="C206" s="314"/>
      <c r="D206" s="314">
        <v>7</v>
      </c>
      <c r="E206" s="41">
        <v>7</v>
      </c>
      <c r="F206" s="42"/>
      <c r="G206" s="43"/>
      <c r="H206" s="60"/>
      <c r="I206" s="40"/>
      <c r="J206" s="41"/>
      <c r="K206" s="40">
        <v>10</v>
      </c>
      <c r="L206" s="41"/>
      <c r="M206" s="64"/>
      <c r="N206" s="341"/>
    </row>
    <row r="207" spans="1:14" ht="10.9" customHeight="1">
      <c r="A207" s="287" t="s">
        <v>272</v>
      </c>
      <c r="B207" s="32"/>
      <c r="C207" s="312">
        <v>7</v>
      </c>
      <c r="D207" s="312"/>
      <c r="E207" s="33">
        <v>7</v>
      </c>
      <c r="F207" s="58"/>
      <c r="G207" s="59"/>
      <c r="H207" s="60"/>
      <c r="I207" s="32"/>
      <c r="J207" s="33"/>
      <c r="K207" s="32"/>
      <c r="L207" s="33">
        <v>10</v>
      </c>
      <c r="M207" s="65"/>
      <c r="N207" s="342"/>
    </row>
    <row r="208" spans="1:14" ht="10.9" customHeight="1">
      <c r="A208" s="289" t="s">
        <v>268</v>
      </c>
      <c r="B208" s="40">
        <v>5</v>
      </c>
      <c r="C208" s="314"/>
      <c r="D208" s="314"/>
      <c r="E208" s="41">
        <v>5</v>
      </c>
      <c r="F208" s="42"/>
      <c r="G208" s="43"/>
      <c r="H208" s="60"/>
      <c r="I208" s="40">
        <v>10</v>
      </c>
      <c r="J208" s="41"/>
      <c r="K208" s="40"/>
      <c r="L208" s="41"/>
      <c r="M208" s="64"/>
      <c r="N208" s="341"/>
    </row>
    <row r="209" spans="1:14" ht="10.9" customHeight="1">
      <c r="A209" s="287" t="s">
        <v>273</v>
      </c>
      <c r="B209" s="32"/>
      <c r="C209" s="312"/>
      <c r="D209" s="312">
        <v>5</v>
      </c>
      <c r="E209" s="33">
        <v>5</v>
      </c>
      <c r="F209" s="58"/>
      <c r="G209" s="59"/>
      <c r="H209" s="60"/>
      <c r="I209" s="32"/>
      <c r="J209" s="33">
        <v>10</v>
      </c>
      <c r="K209" s="32"/>
      <c r="L209" s="33"/>
      <c r="M209" s="65"/>
      <c r="N209" s="342"/>
    </row>
    <row r="210" spans="1:14" ht="10.9" customHeight="1">
      <c r="A210" s="289" t="s">
        <v>266</v>
      </c>
      <c r="B210" s="40">
        <v>3</v>
      </c>
      <c r="C210" s="314"/>
      <c r="D210" s="314"/>
      <c r="E210" s="41">
        <v>3</v>
      </c>
      <c r="F210" s="42"/>
      <c r="G210" s="43"/>
      <c r="H210" s="60"/>
      <c r="I210" s="40">
        <v>10</v>
      </c>
      <c r="J210" s="41"/>
      <c r="K210" s="40"/>
      <c r="L210" s="41"/>
      <c r="M210" s="49">
        <v>0.25</v>
      </c>
      <c r="N210" s="344">
        <v>0.25</v>
      </c>
    </row>
    <row r="211" spans="1:14" ht="10.9" customHeight="1">
      <c r="A211" s="287" t="s">
        <v>269</v>
      </c>
      <c r="B211" s="32"/>
      <c r="C211" s="312">
        <v>3</v>
      </c>
      <c r="D211" s="312"/>
      <c r="E211" s="33">
        <v>3</v>
      </c>
      <c r="F211" s="58"/>
      <c r="G211" s="59"/>
      <c r="H211" s="60"/>
      <c r="I211" s="32"/>
      <c r="J211" s="33">
        <v>10</v>
      </c>
      <c r="K211" s="32"/>
      <c r="L211" s="33"/>
      <c r="M211" s="65"/>
      <c r="N211" s="342"/>
    </row>
    <row r="212" spans="1:14" ht="10.9" customHeight="1">
      <c r="A212" s="289" t="s">
        <v>270</v>
      </c>
      <c r="B212" s="40">
        <v>7</v>
      </c>
      <c r="C212" s="314"/>
      <c r="D212" s="314"/>
      <c r="E212" s="41"/>
      <c r="F212" s="42"/>
      <c r="G212" s="43"/>
      <c r="H212" s="60"/>
      <c r="I212" s="40">
        <v>20</v>
      </c>
      <c r="J212" s="41"/>
      <c r="K212" s="40"/>
      <c r="L212" s="41"/>
      <c r="M212" s="64"/>
      <c r="N212" s="341"/>
    </row>
    <row r="213" spans="1:14" ht="10.9" customHeight="1">
      <c r="A213" s="287" t="s">
        <v>271</v>
      </c>
      <c r="B213" s="32"/>
      <c r="C213" s="312">
        <v>7</v>
      </c>
      <c r="D213" s="312"/>
      <c r="E213" s="33"/>
      <c r="F213" s="58"/>
      <c r="G213" s="59"/>
      <c r="H213" s="60"/>
      <c r="I213" s="32"/>
      <c r="J213" s="33">
        <v>20</v>
      </c>
      <c r="K213" s="32"/>
      <c r="L213" s="33"/>
      <c r="M213" s="65"/>
      <c r="N213" s="342"/>
    </row>
    <row r="214" spans="1:14" ht="10.9" customHeight="1">
      <c r="A214" s="289" t="s">
        <v>260</v>
      </c>
      <c r="B214" s="40"/>
      <c r="C214" s="314"/>
      <c r="D214" s="314"/>
      <c r="E214" s="41"/>
      <c r="F214" s="42">
        <v>0.5</v>
      </c>
      <c r="G214" s="43"/>
      <c r="H214" s="60"/>
      <c r="I214" s="40"/>
      <c r="J214" s="41"/>
      <c r="K214" s="40"/>
      <c r="L214" s="41"/>
      <c r="M214" s="64"/>
      <c r="N214" s="341"/>
    </row>
    <row r="215" spans="1:14" ht="10.9" customHeight="1" thickBot="1">
      <c r="A215" s="315" t="s">
        <v>261</v>
      </c>
      <c r="B215" s="316"/>
      <c r="C215" s="317"/>
      <c r="D215" s="317"/>
      <c r="E215" s="318"/>
      <c r="F215" s="329"/>
      <c r="G215" s="330"/>
      <c r="H215" s="331"/>
      <c r="I215" s="316"/>
      <c r="J215" s="318"/>
      <c r="K215" s="316"/>
      <c r="L215" s="318"/>
      <c r="M215" s="345"/>
      <c r="N215" s="346"/>
    </row>
    <row r="216" spans="1:14" ht="7.15" customHeight="1" thickBot="1"/>
    <row r="217" spans="1:14" ht="12.95" customHeight="1">
      <c r="A217" s="285" t="s">
        <v>30</v>
      </c>
      <c r="B217" s="301" t="s">
        <v>4</v>
      </c>
      <c r="C217" s="302" t="s">
        <v>5</v>
      </c>
      <c r="D217" s="302" t="s">
        <v>6</v>
      </c>
      <c r="E217" s="303" t="s">
        <v>498</v>
      </c>
      <c r="F217" s="332" t="s">
        <v>8</v>
      </c>
      <c r="G217" s="333" t="s">
        <v>9</v>
      </c>
      <c r="H217" s="304" t="s">
        <v>25</v>
      </c>
      <c r="I217" s="301" t="s">
        <v>11</v>
      </c>
      <c r="J217" s="303" t="s">
        <v>12</v>
      </c>
      <c r="K217" s="301" t="s">
        <v>499</v>
      </c>
      <c r="L217" s="303" t="s">
        <v>500</v>
      </c>
      <c r="M217" s="301" t="s">
        <v>506</v>
      </c>
      <c r="N217" s="286" t="s">
        <v>507</v>
      </c>
    </row>
    <row r="218" spans="1:14" ht="10.9" customHeight="1">
      <c r="A218" s="291" t="s">
        <v>25</v>
      </c>
      <c r="B218" s="32"/>
      <c r="C218" s="312"/>
      <c r="D218" s="312"/>
      <c r="E218" s="33"/>
      <c r="F218" s="58"/>
      <c r="G218" s="59"/>
      <c r="H218" s="60"/>
      <c r="I218" s="32"/>
      <c r="J218" s="33"/>
      <c r="K218" s="61"/>
      <c r="L218" s="62"/>
      <c r="M218" s="66"/>
      <c r="N218" s="347"/>
    </row>
    <row r="219" spans="1:14" ht="10.9" customHeight="1">
      <c r="A219" s="292" t="s">
        <v>90</v>
      </c>
      <c r="B219" s="40"/>
      <c r="C219" s="314"/>
      <c r="D219" s="314"/>
      <c r="E219" s="41"/>
      <c r="F219" s="42"/>
      <c r="G219" s="43"/>
      <c r="H219" s="60"/>
      <c r="I219" s="40"/>
      <c r="J219" s="41"/>
      <c r="K219" s="40"/>
      <c r="L219" s="41"/>
      <c r="M219" s="49">
        <v>0.25</v>
      </c>
      <c r="N219" s="344"/>
    </row>
    <row r="220" spans="1:14" ht="10.9" customHeight="1">
      <c r="A220" s="291" t="s">
        <v>89</v>
      </c>
      <c r="B220" s="32"/>
      <c r="C220" s="312"/>
      <c r="D220" s="312"/>
      <c r="E220" s="33"/>
      <c r="F220" s="58"/>
      <c r="G220" s="59"/>
      <c r="H220" s="60"/>
      <c r="I220" s="32"/>
      <c r="J220" s="33"/>
      <c r="K220" s="32"/>
      <c r="L220" s="33"/>
      <c r="M220" s="34"/>
      <c r="N220" s="343"/>
    </row>
    <row r="221" spans="1:14" ht="10.9" customHeight="1">
      <c r="A221" s="292" t="s">
        <v>18</v>
      </c>
      <c r="B221" s="40"/>
      <c r="C221" s="314"/>
      <c r="D221" s="314"/>
      <c r="E221" s="41"/>
      <c r="F221" s="42"/>
      <c r="G221" s="43"/>
      <c r="H221" s="60"/>
      <c r="I221" s="40"/>
      <c r="J221" s="41"/>
      <c r="K221" s="40"/>
      <c r="L221" s="41"/>
      <c r="M221" s="49"/>
      <c r="N221" s="344"/>
    </row>
    <row r="222" spans="1:14" ht="10.9" customHeight="1">
      <c r="A222" s="291" t="s">
        <v>17</v>
      </c>
      <c r="B222" s="32"/>
      <c r="C222" s="312"/>
      <c r="D222" s="312"/>
      <c r="E222" s="33"/>
      <c r="F222" s="58"/>
      <c r="G222" s="59"/>
      <c r="H222" s="60"/>
      <c r="I222" s="32"/>
      <c r="J222" s="33"/>
      <c r="K222" s="32"/>
      <c r="L222" s="33"/>
      <c r="M222" s="34"/>
      <c r="N222" s="343"/>
    </row>
    <row r="223" spans="1:14" ht="10.9" customHeight="1">
      <c r="A223" s="292" t="s">
        <v>85</v>
      </c>
      <c r="B223" s="40"/>
      <c r="C223" s="314"/>
      <c r="D223" s="314"/>
      <c r="E223" s="41"/>
      <c r="F223" s="42"/>
      <c r="G223" s="43"/>
      <c r="H223" s="60"/>
      <c r="I223" s="40"/>
      <c r="J223" s="41"/>
      <c r="K223" s="40"/>
      <c r="L223" s="41"/>
      <c r="M223" s="49"/>
      <c r="N223" s="344"/>
    </row>
    <row r="224" spans="1:14" ht="10.9" customHeight="1">
      <c r="A224" s="291" t="s">
        <v>81</v>
      </c>
      <c r="B224" s="32"/>
      <c r="C224" s="312"/>
      <c r="D224" s="312"/>
      <c r="E224" s="33"/>
      <c r="F224" s="58"/>
      <c r="G224" s="59"/>
      <c r="H224" s="60"/>
      <c r="I224" s="32"/>
      <c r="J224" s="33"/>
      <c r="K224" s="32">
        <v>10</v>
      </c>
      <c r="L224" s="33"/>
      <c r="M224" s="34"/>
      <c r="N224" s="343"/>
    </row>
    <row r="225" spans="1:14" ht="10.9" customHeight="1">
      <c r="A225" s="292" t="s">
        <v>80</v>
      </c>
      <c r="B225" s="40"/>
      <c r="C225" s="314"/>
      <c r="D225" s="314"/>
      <c r="E225" s="41"/>
      <c r="F225" s="42"/>
      <c r="G225" s="43"/>
      <c r="H225" s="60"/>
      <c r="I225" s="40">
        <v>10</v>
      </c>
      <c r="J225" s="41"/>
      <c r="K225" s="40"/>
      <c r="L225" s="41"/>
      <c r="M225" s="49"/>
      <c r="N225" s="344"/>
    </row>
    <row r="226" spans="1:14" ht="10.9" customHeight="1">
      <c r="A226" s="291" t="s">
        <v>79</v>
      </c>
      <c r="B226" s="32"/>
      <c r="C226" s="312"/>
      <c r="D226" s="312"/>
      <c r="E226" s="33"/>
      <c r="F226" s="58"/>
      <c r="G226" s="59"/>
      <c r="H226" s="60"/>
      <c r="I226" s="32"/>
      <c r="J226" s="33"/>
      <c r="K226" s="32"/>
      <c r="L226" s="33"/>
      <c r="M226" s="34"/>
      <c r="N226" s="343"/>
    </row>
    <row r="227" spans="1:14" ht="10.9" customHeight="1">
      <c r="A227" s="292" t="s">
        <v>75</v>
      </c>
      <c r="B227" s="40"/>
      <c r="C227" s="314">
        <v>5</v>
      </c>
      <c r="D227" s="314"/>
      <c r="E227" s="41"/>
      <c r="F227" s="42"/>
      <c r="G227" s="43"/>
      <c r="H227" s="60"/>
      <c r="I227" s="40"/>
      <c r="J227" s="41"/>
      <c r="K227" s="40"/>
      <c r="L227" s="41"/>
      <c r="M227" s="49"/>
      <c r="N227" s="344"/>
    </row>
    <row r="228" spans="1:14" ht="10.9" customHeight="1">
      <c r="A228" s="291" t="s">
        <v>16</v>
      </c>
      <c r="B228" s="32"/>
      <c r="C228" s="312"/>
      <c r="D228" s="312"/>
      <c r="E228" s="33"/>
      <c r="F228" s="58"/>
      <c r="G228" s="59"/>
      <c r="H228" s="60"/>
      <c r="I228" s="32"/>
      <c r="J228" s="33"/>
      <c r="K228" s="32"/>
      <c r="L228" s="33"/>
      <c r="M228" s="34"/>
      <c r="N228" s="343"/>
    </row>
    <row r="229" spans="1:14" ht="10.9" customHeight="1">
      <c r="A229" s="292" t="s">
        <v>88</v>
      </c>
      <c r="B229" s="40"/>
      <c r="C229" s="314"/>
      <c r="D229" s="314">
        <v>5</v>
      </c>
      <c r="E229" s="41"/>
      <c r="F229" s="42"/>
      <c r="G229" s="43"/>
      <c r="H229" s="60"/>
      <c r="I229" s="40"/>
      <c r="J229" s="41"/>
      <c r="K229" s="40"/>
      <c r="L229" s="41"/>
      <c r="M229" s="49"/>
      <c r="N229" s="344"/>
    </row>
    <row r="230" spans="1:14" ht="10.9" customHeight="1">
      <c r="A230" s="291" t="s">
        <v>87</v>
      </c>
      <c r="B230" s="32"/>
      <c r="C230" s="312"/>
      <c r="D230" s="312"/>
      <c r="E230" s="33"/>
      <c r="F230" s="58"/>
      <c r="G230" s="59"/>
      <c r="H230" s="60"/>
      <c r="I230" s="32"/>
      <c r="J230" s="33"/>
      <c r="K230" s="32"/>
      <c r="L230" s="33"/>
      <c r="M230" s="34"/>
      <c r="N230" s="343"/>
    </row>
    <row r="231" spans="1:14" ht="10.9" customHeight="1">
      <c r="A231" s="292" t="s">
        <v>76</v>
      </c>
      <c r="B231" s="40"/>
      <c r="C231" s="314"/>
      <c r="D231" s="314"/>
      <c r="E231" s="41"/>
      <c r="F231" s="42"/>
      <c r="G231" s="43"/>
      <c r="H231" s="60"/>
      <c r="I231" s="40"/>
      <c r="J231" s="41"/>
      <c r="K231" s="40"/>
      <c r="L231" s="41">
        <v>10</v>
      </c>
      <c r="M231" s="49"/>
      <c r="N231" s="344"/>
    </row>
    <row r="232" spans="1:14" ht="10.9" customHeight="1">
      <c r="A232" s="291" t="s">
        <v>20</v>
      </c>
      <c r="B232" s="32"/>
      <c r="C232" s="312"/>
      <c r="D232" s="312"/>
      <c r="E232" s="33"/>
      <c r="F232" s="58">
        <v>0.25</v>
      </c>
      <c r="G232" s="59"/>
      <c r="H232" s="60"/>
      <c r="I232" s="32"/>
      <c r="J232" s="33"/>
      <c r="K232" s="32"/>
      <c r="L232" s="33"/>
      <c r="M232" s="34"/>
      <c r="N232" s="343"/>
    </row>
    <row r="233" spans="1:14" ht="10.9" customHeight="1">
      <c r="A233" s="292" t="s">
        <v>21</v>
      </c>
      <c r="B233" s="40"/>
      <c r="C233" s="314"/>
      <c r="D233" s="314"/>
      <c r="E233" s="41"/>
      <c r="F233" s="42"/>
      <c r="G233" s="43"/>
      <c r="H233" s="60"/>
      <c r="I233" s="40"/>
      <c r="J233" s="41"/>
      <c r="K233" s="40"/>
      <c r="L233" s="41"/>
      <c r="M233" s="49"/>
      <c r="N233" s="344">
        <v>0.25</v>
      </c>
    </row>
    <row r="234" spans="1:14" ht="10.9" customHeight="1">
      <c r="A234" s="291" t="s">
        <v>72</v>
      </c>
      <c r="B234" s="32"/>
      <c r="C234" s="312"/>
      <c r="D234" s="312"/>
      <c r="E234" s="33"/>
      <c r="F234" s="58"/>
      <c r="G234" s="59"/>
      <c r="H234" s="60"/>
      <c r="I234" s="32"/>
      <c r="J234" s="33"/>
      <c r="K234" s="32"/>
      <c r="L234" s="33"/>
      <c r="M234" s="34"/>
      <c r="N234" s="343"/>
    </row>
    <row r="235" spans="1:14" ht="10.9" customHeight="1">
      <c r="A235" s="292" t="s">
        <v>82</v>
      </c>
      <c r="B235" s="40"/>
      <c r="C235" s="314"/>
      <c r="D235" s="314"/>
      <c r="E235" s="41"/>
      <c r="F235" s="42"/>
      <c r="G235" s="43"/>
      <c r="H235" s="60"/>
      <c r="I235" s="40"/>
      <c r="J235" s="41"/>
      <c r="K235" s="40"/>
      <c r="L235" s="41"/>
      <c r="M235" s="49"/>
      <c r="N235" s="344"/>
    </row>
    <row r="236" spans="1:14" ht="10.9" customHeight="1">
      <c r="A236" s="291" t="s">
        <v>78</v>
      </c>
      <c r="B236" s="32"/>
      <c r="C236" s="312"/>
      <c r="D236" s="312"/>
      <c r="E236" s="33"/>
      <c r="F236" s="58"/>
      <c r="G236" s="59"/>
      <c r="H236" s="60"/>
      <c r="I236" s="32"/>
      <c r="J236" s="33"/>
      <c r="K236" s="32"/>
      <c r="L236" s="33"/>
      <c r="M236" s="34"/>
      <c r="N236" s="343"/>
    </row>
    <row r="237" spans="1:14" ht="10.9" customHeight="1">
      <c r="A237" s="292" t="s">
        <v>77</v>
      </c>
      <c r="B237" s="40"/>
      <c r="C237" s="314"/>
      <c r="D237" s="314"/>
      <c r="E237" s="41">
        <v>5</v>
      </c>
      <c r="F237" s="42"/>
      <c r="G237" s="43"/>
      <c r="H237" s="60"/>
      <c r="I237" s="40"/>
      <c r="J237" s="41"/>
      <c r="K237" s="40"/>
      <c r="L237" s="41"/>
      <c r="M237" s="49"/>
      <c r="N237" s="344"/>
    </row>
    <row r="238" spans="1:14" ht="10.9" customHeight="1">
      <c r="A238" s="291" t="s">
        <v>73</v>
      </c>
      <c r="B238" s="32"/>
      <c r="C238" s="312"/>
      <c r="D238" s="312"/>
      <c r="E238" s="33"/>
      <c r="F238" s="58"/>
      <c r="G238" s="59"/>
      <c r="H238" s="60"/>
      <c r="I238" s="32"/>
      <c r="J238" s="33"/>
      <c r="K238" s="32"/>
      <c r="L238" s="33"/>
      <c r="M238" s="34"/>
      <c r="N238" s="343"/>
    </row>
    <row r="239" spans="1:14" ht="10.9" customHeight="1">
      <c r="A239" s="292" t="s">
        <v>86</v>
      </c>
      <c r="B239" s="40"/>
      <c r="C239" s="314"/>
      <c r="D239" s="314"/>
      <c r="E239" s="41"/>
      <c r="F239" s="42"/>
      <c r="G239" s="43">
        <v>0.25</v>
      </c>
      <c r="H239" s="60"/>
      <c r="I239" s="40"/>
      <c r="J239" s="41"/>
      <c r="K239" s="40"/>
      <c r="L239" s="41"/>
      <c r="M239" s="49"/>
      <c r="N239" s="344"/>
    </row>
    <row r="240" spans="1:14" ht="10.9" customHeight="1">
      <c r="A240" s="291" t="s">
        <v>74</v>
      </c>
      <c r="B240" s="32"/>
      <c r="C240" s="312"/>
      <c r="D240" s="312"/>
      <c r="E240" s="33"/>
      <c r="F240" s="58"/>
      <c r="G240" s="59"/>
      <c r="H240" s="60"/>
      <c r="I240" s="32"/>
      <c r="J240" s="33"/>
      <c r="K240" s="32"/>
      <c r="L240" s="33"/>
      <c r="M240" s="34"/>
      <c r="N240" s="343"/>
    </row>
    <row r="241" spans="1:14" ht="10.9" customHeight="1">
      <c r="A241" s="292" t="s">
        <v>84</v>
      </c>
      <c r="B241" s="40"/>
      <c r="C241" s="314"/>
      <c r="D241" s="314"/>
      <c r="E241" s="41"/>
      <c r="F241" s="42"/>
      <c r="G241" s="43"/>
      <c r="H241" s="60"/>
      <c r="I241" s="40"/>
      <c r="J241" s="41"/>
      <c r="K241" s="40"/>
      <c r="L241" s="41"/>
      <c r="M241" s="49"/>
      <c r="N241" s="344"/>
    </row>
    <row r="242" spans="1:14" ht="10.9" customHeight="1">
      <c r="A242" s="291" t="s">
        <v>19</v>
      </c>
      <c r="B242" s="32"/>
      <c r="C242" s="312"/>
      <c r="D242" s="312"/>
      <c r="E242" s="33"/>
      <c r="F242" s="58"/>
      <c r="G242" s="59"/>
      <c r="H242" s="60"/>
      <c r="I242" s="32"/>
      <c r="J242" s="33"/>
      <c r="K242" s="32"/>
      <c r="L242" s="33"/>
      <c r="M242" s="34"/>
      <c r="N242" s="343"/>
    </row>
    <row r="243" spans="1:14" ht="10.9" customHeight="1">
      <c r="A243" s="292" t="s">
        <v>15</v>
      </c>
      <c r="B243" s="40">
        <v>5</v>
      </c>
      <c r="C243" s="314"/>
      <c r="D243" s="314"/>
      <c r="E243" s="41"/>
      <c r="F243" s="42"/>
      <c r="G243" s="43"/>
      <c r="H243" s="60"/>
      <c r="I243" s="40"/>
      <c r="J243" s="41"/>
      <c r="K243" s="40"/>
      <c r="L243" s="41"/>
      <c r="M243" s="49"/>
      <c r="N243" s="344"/>
    </row>
    <row r="244" spans="1:14" ht="10.9" customHeight="1" thickBot="1">
      <c r="A244" s="295" t="s">
        <v>83</v>
      </c>
      <c r="B244" s="316"/>
      <c r="C244" s="317"/>
      <c r="D244" s="317"/>
      <c r="E244" s="318"/>
      <c r="F244" s="329"/>
      <c r="G244" s="330"/>
      <c r="H244" s="331"/>
      <c r="I244" s="316"/>
      <c r="J244" s="318">
        <v>10</v>
      </c>
      <c r="K244" s="316"/>
      <c r="L244" s="318"/>
      <c r="M244" s="319"/>
      <c r="N244" s="348"/>
    </row>
    <row r="245" spans="1:14" ht="7.15" customHeight="1" thickBot="1"/>
    <row r="246" spans="1:14" ht="12.95" customHeight="1">
      <c r="A246" s="349" t="s">
        <v>508</v>
      </c>
      <c r="B246" s="350" t="s">
        <v>509</v>
      </c>
      <c r="C246" s="232" t="s">
        <v>510</v>
      </c>
      <c r="D246" s="351" t="s">
        <v>511</v>
      </c>
      <c r="E246" s="232" t="s">
        <v>512</v>
      </c>
      <c r="F246" s="351" t="s">
        <v>513</v>
      </c>
      <c r="G246" s="232" t="s">
        <v>514</v>
      </c>
      <c r="H246" s="352" t="s">
        <v>515</v>
      </c>
      <c r="I246" s="352" t="s">
        <v>514</v>
      </c>
      <c r="J246" s="351" t="s">
        <v>515</v>
      </c>
      <c r="K246" s="232" t="s">
        <v>516</v>
      </c>
      <c r="L246" s="352" t="s">
        <v>517</v>
      </c>
      <c r="M246" s="352" t="s">
        <v>516</v>
      </c>
      <c r="N246" s="228" t="s">
        <v>517</v>
      </c>
    </row>
    <row r="247" spans="1:14" ht="10.9" customHeight="1">
      <c r="A247" s="297" t="s">
        <v>25</v>
      </c>
      <c r="B247" s="67"/>
      <c r="C247" s="68"/>
      <c r="D247" s="69"/>
      <c r="E247" s="68"/>
      <c r="F247" s="69"/>
      <c r="G247" s="70"/>
      <c r="H247" s="71"/>
      <c r="I247" s="72"/>
      <c r="J247" s="73"/>
      <c r="K247" s="70"/>
      <c r="L247" s="71"/>
      <c r="M247" s="72"/>
      <c r="N247" s="353"/>
    </row>
    <row r="248" spans="1:14" ht="10.9" customHeight="1">
      <c r="A248" s="292" t="s">
        <v>275</v>
      </c>
      <c r="B248" s="26">
        <v>27</v>
      </c>
      <c r="C248" s="24"/>
      <c r="D248" s="25"/>
      <c r="E248" s="24">
        <v>3</v>
      </c>
      <c r="F248" s="25">
        <v>1</v>
      </c>
      <c r="G248" s="74"/>
      <c r="H248" s="105"/>
      <c r="I248" s="106"/>
      <c r="J248" s="75"/>
      <c r="K248" s="74"/>
      <c r="L248" s="105"/>
      <c r="M248" s="106"/>
      <c r="N248" s="354"/>
    </row>
    <row r="249" spans="1:14" ht="10.9" customHeight="1">
      <c r="A249" s="291" t="s">
        <v>281</v>
      </c>
      <c r="B249" s="76">
        <v>54</v>
      </c>
      <c r="C249" s="77"/>
      <c r="D249" s="78"/>
      <c r="E249" s="77">
        <v>3</v>
      </c>
      <c r="F249" s="78">
        <v>1</v>
      </c>
      <c r="G249" s="79"/>
      <c r="H249" s="81"/>
      <c r="I249" s="82"/>
      <c r="J249" s="80"/>
      <c r="K249" s="79"/>
      <c r="L249" s="81"/>
      <c r="M249" s="82"/>
      <c r="N249" s="355"/>
    </row>
    <row r="250" spans="1:14" ht="10.9" customHeight="1">
      <c r="A250" s="292" t="s">
        <v>279</v>
      </c>
      <c r="B250" s="26">
        <v>108</v>
      </c>
      <c r="C250" s="24"/>
      <c r="D250" s="25"/>
      <c r="E250" s="24">
        <v>3</v>
      </c>
      <c r="F250" s="25">
        <v>1</v>
      </c>
      <c r="G250" s="74"/>
      <c r="H250" s="105"/>
      <c r="I250" s="106"/>
      <c r="J250" s="75"/>
      <c r="K250" s="74" t="s">
        <v>518</v>
      </c>
      <c r="L250" s="105" t="str">
        <f>"1/3"</f>
        <v>1/3</v>
      </c>
      <c r="M250" s="106"/>
      <c r="N250" s="354"/>
    </row>
    <row r="251" spans="1:14" ht="10.9" customHeight="1">
      <c r="A251" s="291" t="s">
        <v>276</v>
      </c>
      <c r="B251" s="76">
        <v>30</v>
      </c>
      <c r="C251" s="77"/>
      <c r="D251" s="78"/>
      <c r="E251" s="77">
        <v>4</v>
      </c>
      <c r="F251" s="78">
        <v>1</v>
      </c>
      <c r="G251" s="79"/>
      <c r="H251" s="81"/>
      <c r="I251" s="82"/>
      <c r="J251" s="80"/>
      <c r="K251" s="79"/>
      <c r="L251" s="81"/>
      <c r="M251" s="82"/>
      <c r="N251" s="355"/>
    </row>
    <row r="252" spans="1:14" ht="10.9" customHeight="1">
      <c r="A252" s="292" t="s">
        <v>282</v>
      </c>
      <c r="B252" s="26">
        <v>60</v>
      </c>
      <c r="C252" s="24"/>
      <c r="D252" s="25"/>
      <c r="E252" s="24">
        <v>4</v>
      </c>
      <c r="F252" s="25">
        <v>1</v>
      </c>
      <c r="G252" s="74"/>
      <c r="H252" s="105"/>
      <c r="I252" s="106"/>
      <c r="J252" s="75"/>
      <c r="K252" s="74"/>
      <c r="L252" s="105"/>
      <c r="M252" s="106"/>
      <c r="N252" s="354"/>
    </row>
    <row r="253" spans="1:14" ht="10.9" customHeight="1">
      <c r="A253" s="291" t="s">
        <v>287</v>
      </c>
      <c r="B253" s="76">
        <v>120</v>
      </c>
      <c r="C253" s="77"/>
      <c r="D253" s="78"/>
      <c r="E253" s="77">
        <v>4</v>
      </c>
      <c r="F253" s="78">
        <v>1</v>
      </c>
      <c r="G253" s="79"/>
      <c r="H253" s="81"/>
      <c r="I253" s="82"/>
      <c r="J253" s="80"/>
      <c r="K253" s="79"/>
      <c r="L253" s="81"/>
      <c r="M253" s="82"/>
      <c r="N253" s="355"/>
    </row>
    <row r="254" spans="1:14" ht="10.9" customHeight="1">
      <c r="A254" s="292" t="s">
        <v>295</v>
      </c>
      <c r="B254" s="26">
        <v>33</v>
      </c>
      <c r="C254" s="24"/>
      <c r="D254" s="25"/>
      <c r="E254" s="24">
        <v>5</v>
      </c>
      <c r="F254" s="25">
        <v>1</v>
      </c>
      <c r="G254" s="74"/>
      <c r="H254" s="105"/>
      <c r="I254" s="106"/>
      <c r="J254" s="75"/>
      <c r="K254" s="74"/>
      <c r="L254" s="105"/>
      <c r="M254" s="106"/>
      <c r="N254" s="354"/>
    </row>
    <row r="255" spans="1:14" ht="10.9" customHeight="1">
      <c r="A255" s="291" t="s">
        <v>285</v>
      </c>
      <c r="B255" s="76">
        <v>66</v>
      </c>
      <c r="C255" s="77"/>
      <c r="D255" s="78"/>
      <c r="E255" s="77">
        <v>5</v>
      </c>
      <c r="F255" s="78">
        <v>1</v>
      </c>
      <c r="G255" s="79"/>
      <c r="H255" s="81"/>
      <c r="I255" s="82"/>
      <c r="J255" s="80"/>
      <c r="K255" s="79" t="s">
        <v>519</v>
      </c>
      <c r="L255" s="81" t="str">
        <f>"1/3"</f>
        <v>1/3</v>
      </c>
      <c r="M255" s="82"/>
      <c r="N255" s="355"/>
    </row>
    <row r="256" spans="1:14" ht="10.9" customHeight="1">
      <c r="A256" s="292" t="s">
        <v>299</v>
      </c>
      <c r="B256" s="26">
        <v>132</v>
      </c>
      <c r="C256" s="24"/>
      <c r="D256" s="25"/>
      <c r="E256" s="24">
        <v>5</v>
      </c>
      <c r="F256" s="25">
        <v>1</v>
      </c>
      <c r="G256" s="74"/>
      <c r="H256" s="105"/>
      <c r="I256" s="106"/>
      <c r="J256" s="75"/>
      <c r="K256" s="74"/>
      <c r="L256" s="105"/>
      <c r="M256" s="106"/>
      <c r="N256" s="354"/>
    </row>
    <row r="257" spans="1:14" ht="10.9" customHeight="1">
      <c r="A257" s="291" t="s">
        <v>280</v>
      </c>
      <c r="B257" s="76">
        <v>30</v>
      </c>
      <c r="C257" s="77"/>
      <c r="D257" s="78"/>
      <c r="E257" s="77">
        <v>2</v>
      </c>
      <c r="F257" s="78"/>
      <c r="G257" s="79"/>
      <c r="H257" s="81"/>
      <c r="I257" s="82"/>
      <c r="J257" s="80"/>
      <c r="K257" s="79"/>
      <c r="L257" s="81"/>
      <c r="M257" s="82"/>
      <c r="N257" s="355"/>
    </row>
    <row r="258" spans="1:14" ht="10.9" customHeight="1">
      <c r="A258" s="292" t="s">
        <v>286</v>
      </c>
      <c r="B258" s="26">
        <v>60</v>
      </c>
      <c r="C258" s="24"/>
      <c r="D258" s="25"/>
      <c r="E258" s="24">
        <v>2</v>
      </c>
      <c r="F258" s="25">
        <v>1</v>
      </c>
      <c r="G258" s="74"/>
      <c r="H258" s="105"/>
      <c r="I258" s="106"/>
      <c r="J258" s="75"/>
      <c r="K258" s="74" t="s">
        <v>520</v>
      </c>
      <c r="L258" s="105" t="str">
        <f>"2/3"</f>
        <v>2/3</v>
      </c>
      <c r="M258" s="106"/>
      <c r="N258" s="354"/>
    </row>
    <row r="259" spans="1:14" ht="10.9" customHeight="1">
      <c r="A259" s="291" t="s">
        <v>292</v>
      </c>
      <c r="B259" s="76">
        <v>40</v>
      </c>
      <c r="C259" s="77">
        <v>1</v>
      </c>
      <c r="D259" s="78"/>
      <c r="E259" s="77">
        <v>17</v>
      </c>
      <c r="F259" s="78"/>
      <c r="G259" s="79"/>
      <c r="H259" s="81"/>
      <c r="I259" s="82"/>
      <c r="J259" s="80"/>
      <c r="K259" s="79" t="s">
        <v>521</v>
      </c>
      <c r="L259" s="81" t="str">
        <f>"2/3"</f>
        <v>2/3</v>
      </c>
      <c r="M259" s="82"/>
      <c r="N259" s="355"/>
    </row>
    <row r="260" spans="1:14" ht="10.9" customHeight="1">
      <c r="A260" s="292" t="s">
        <v>278</v>
      </c>
      <c r="B260" s="26">
        <v>45</v>
      </c>
      <c r="C260" s="24"/>
      <c r="D260" s="25"/>
      <c r="E260" s="24">
        <v>15</v>
      </c>
      <c r="F260" s="25"/>
      <c r="G260" s="74"/>
      <c r="H260" s="105"/>
      <c r="I260" s="106"/>
      <c r="J260" s="75"/>
      <c r="K260" s="74"/>
      <c r="L260" s="105"/>
      <c r="M260" s="106"/>
      <c r="N260" s="354"/>
    </row>
    <row r="261" spans="1:14" ht="10.9" customHeight="1">
      <c r="A261" s="291" t="s">
        <v>283</v>
      </c>
      <c r="B261" s="76">
        <v>50</v>
      </c>
      <c r="C261" s="77">
        <v>1</v>
      </c>
      <c r="D261" s="78"/>
      <c r="E261" s="77">
        <v>18</v>
      </c>
      <c r="F261" s="78"/>
      <c r="G261" s="79"/>
      <c r="H261" s="81"/>
      <c r="I261" s="82"/>
      <c r="J261" s="80"/>
      <c r="K261" s="79" t="s">
        <v>522</v>
      </c>
      <c r="L261" s="81" t="str">
        <f>"1/3"</f>
        <v>1/3</v>
      </c>
      <c r="M261" s="82" t="s">
        <v>523</v>
      </c>
      <c r="N261" s="355" t="str">
        <f>"2/3"</f>
        <v>2/3</v>
      </c>
    </row>
    <row r="262" spans="1:14" ht="10.9" customHeight="1">
      <c r="A262" s="292" t="s">
        <v>293</v>
      </c>
      <c r="B262" s="26">
        <v>90</v>
      </c>
      <c r="C262" s="24"/>
      <c r="D262" s="25"/>
      <c r="E262" s="24">
        <v>2</v>
      </c>
      <c r="F262" s="25"/>
      <c r="G262" s="74"/>
      <c r="H262" s="105"/>
      <c r="I262" s="106"/>
      <c r="J262" s="75"/>
      <c r="K262" s="74" t="s">
        <v>524</v>
      </c>
      <c r="L262" s="105" t="str">
        <f>"2/3"</f>
        <v>2/3</v>
      </c>
      <c r="M262" s="106"/>
      <c r="N262" s="354"/>
    </row>
    <row r="263" spans="1:14" ht="10.9" customHeight="1">
      <c r="A263" s="291" t="s">
        <v>303</v>
      </c>
      <c r="B263" s="76">
        <v>48</v>
      </c>
      <c r="C263" s="77">
        <v>1</v>
      </c>
      <c r="D263" s="78"/>
      <c r="E263" s="77">
        <v>1</v>
      </c>
      <c r="F263" s="78"/>
      <c r="G263" s="79"/>
      <c r="H263" s="81"/>
      <c r="I263" s="82"/>
      <c r="J263" s="80"/>
      <c r="K263" s="79" t="s">
        <v>525</v>
      </c>
      <c r="L263" s="81" t="str">
        <f>"2/3"</f>
        <v>2/3</v>
      </c>
      <c r="M263" s="82"/>
      <c r="N263" s="355"/>
    </row>
    <row r="264" spans="1:14" ht="10.9" customHeight="1">
      <c r="A264" s="292" t="s">
        <v>294</v>
      </c>
      <c r="B264" s="26">
        <v>60</v>
      </c>
      <c r="C264" s="24">
        <v>1</v>
      </c>
      <c r="D264" s="25"/>
      <c r="E264" s="24"/>
      <c r="F264" s="25"/>
      <c r="G264" s="74"/>
      <c r="H264" s="105"/>
      <c r="I264" s="106"/>
      <c r="J264" s="75"/>
      <c r="K264" s="74"/>
      <c r="L264" s="105"/>
      <c r="M264" s="106"/>
      <c r="N264" s="354"/>
    </row>
    <row r="265" spans="1:14" ht="10.9" customHeight="1">
      <c r="A265" s="291" t="s">
        <v>284</v>
      </c>
      <c r="B265" s="76">
        <v>120</v>
      </c>
      <c r="C265" s="77"/>
      <c r="D265" s="78"/>
      <c r="E265" s="77">
        <v>7</v>
      </c>
      <c r="F265" s="78"/>
      <c r="G265" s="79"/>
      <c r="H265" s="81"/>
      <c r="I265" s="82"/>
      <c r="J265" s="80"/>
      <c r="K265" s="79"/>
      <c r="L265" s="81"/>
      <c r="M265" s="82"/>
      <c r="N265" s="355"/>
    </row>
    <row r="266" spans="1:14" ht="10.9" customHeight="1">
      <c r="A266" s="292" t="s">
        <v>306</v>
      </c>
      <c r="B266" s="26">
        <v>60</v>
      </c>
      <c r="C266" s="24">
        <v>1</v>
      </c>
      <c r="D266" s="25"/>
      <c r="E266" s="24"/>
      <c r="F266" s="25"/>
      <c r="G266" s="74"/>
      <c r="H266" s="105"/>
      <c r="I266" s="106"/>
      <c r="J266" s="75"/>
      <c r="K266" s="74"/>
      <c r="L266" s="105"/>
      <c r="M266" s="106"/>
      <c r="N266" s="354"/>
    </row>
    <row r="267" spans="1:14" ht="10.9" customHeight="1">
      <c r="A267" s="291" t="s">
        <v>298</v>
      </c>
      <c r="B267" s="76">
        <v>90</v>
      </c>
      <c r="C267" s="77"/>
      <c r="D267" s="78"/>
      <c r="E267" s="77"/>
      <c r="F267" s="78"/>
      <c r="G267" s="79"/>
      <c r="H267" s="81"/>
      <c r="I267" s="82"/>
      <c r="J267" s="80"/>
      <c r="K267" s="79"/>
      <c r="L267" s="81"/>
      <c r="M267" s="82"/>
      <c r="N267" s="355"/>
    </row>
    <row r="268" spans="1:14" ht="10.9" customHeight="1">
      <c r="A268" s="292" t="s">
        <v>290</v>
      </c>
      <c r="B268" s="26" t="str">
        <f>"(1/2)"</f>
        <v>(1/2)</v>
      </c>
      <c r="C268" s="24">
        <v>8</v>
      </c>
      <c r="D268" s="25"/>
      <c r="E268" s="24">
        <v>18</v>
      </c>
      <c r="F268" s="25"/>
      <c r="G268" s="74"/>
      <c r="H268" s="105"/>
      <c r="I268" s="106"/>
      <c r="J268" s="75"/>
      <c r="K268" s="74" t="s">
        <v>526</v>
      </c>
      <c r="L268" s="105" t="str">
        <f>"1/3"</f>
        <v>1/3</v>
      </c>
      <c r="M268" s="106"/>
      <c r="N268" s="354"/>
    </row>
    <row r="269" spans="1:14" ht="10.9" customHeight="1">
      <c r="A269" s="291" t="s">
        <v>297</v>
      </c>
      <c r="B269" s="76" t="str">
        <f>"(3/4)"</f>
        <v>(3/4)</v>
      </c>
      <c r="C269" s="77">
        <v>12</v>
      </c>
      <c r="D269" s="78"/>
      <c r="E269" s="77">
        <v>18</v>
      </c>
      <c r="F269" s="78"/>
      <c r="G269" s="79"/>
      <c r="H269" s="81"/>
      <c r="I269" s="82"/>
      <c r="J269" s="80"/>
      <c r="K269" s="79" t="s">
        <v>526</v>
      </c>
      <c r="L269" s="81" t="str">
        <f>"2/3"</f>
        <v>2/3</v>
      </c>
      <c r="M269" s="82"/>
      <c r="N269" s="355"/>
    </row>
    <row r="270" spans="1:14" ht="10.9" customHeight="1">
      <c r="A270" s="356" t="s">
        <v>289</v>
      </c>
      <c r="B270" s="31">
        <v>100</v>
      </c>
      <c r="C270" s="28"/>
      <c r="D270" s="30"/>
      <c r="E270" s="28"/>
      <c r="F270" s="30"/>
      <c r="G270" s="83"/>
      <c r="H270" s="84"/>
      <c r="I270" s="85"/>
      <c r="J270" s="86"/>
      <c r="K270" s="83"/>
      <c r="L270" s="84"/>
      <c r="M270" s="85"/>
      <c r="N270" s="357"/>
    </row>
    <row r="271" spans="1:14" ht="10.9" customHeight="1">
      <c r="A271" s="358" t="s">
        <v>277</v>
      </c>
      <c r="B271" s="87">
        <v>25</v>
      </c>
      <c r="C271" s="88"/>
      <c r="D271" s="89"/>
      <c r="E271" s="88"/>
      <c r="F271" s="89"/>
      <c r="G271" s="90"/>
      <c r="H271" s="91"/>
      <c r="I271" s="92"/>
      <c r="J271" s="93"/>
      <c r="K271" s="90" t="s">
        <v>527</v>
      </c>
      <c r="L271" s="91" t="str">
        <f>"1/3"</f>
        <v>1/3</v>
      </c>
      <c r="M271" s="92"/>
      <c r="N271" s="359"/>
    </row>
    <row r="272" spans="1:14" ht="10.9" customHeight="1">
      <c r="A272" s="360" t="s">
        <v>301</v>
      </c>
      <c r="B272" s="94">
        <v>5</v>
      </c>
      <c r="C272" s="95"/>
      <c r="D272" s="96"/>
      <c r="E272" s="95"/>
      <c r="F272" s="96"/>
      <c r="G272" s="97"/>
      <c r="H272" s="98"/>
      <c r="I272" s="99"/>
      <c r="J272" s="100"/>
      <c r="K272" s="97"/>
      <c r="L272" s="98"/>
      <c r="M272" s="99"/>
      <c r="N272" s="361"/>
    </row>
    <row r="273" spans="1:14" ht="10.9" customHeight="1">
      <c r="A273" s="297" t="s">
        <v>302</v>
      </c>
      <c r="B273" s="67">
        <v>10</v>
      </c>
      <c r="C273" s="68">
        <v>1</v>
      </c>
      <c r="D273" s="69"/>
      <c r="E273" s="68">
        <v>1</v>
      </c>
      <c r="F273" s="69">
        <v>1</v>
      </c>
      <c r="G273" s="101"/>
      <c r="H273" s="102"/>
      <c r="I273" s="103"/>
      <c r="J273" s="104"/>
      <c r="K273" s="101" t="s">
        <v>528</v>
      </c>
      <c r="L273" s="102" t="str">
        <f>"2/3"</f>
        <v>2/3</v>
      </c>
      <c r="M273" s="103"/>
      <c r="N273" s="362"/>
    </row>
    <row r="274" spans="1:14" ht="10.9" customHeight="1">
      <c r="A274" s="292" t="s">
        <v>288</v>
      </c>
      <c r="B274" s="26">
        <v>25</v>
      </c>
      <c r="C274" s="24">
        <v>1</v>
      </c>
      <c r="D274" s="25"/>
      <c r="E274" s="24">
        <v>1</v>
      </c>
      <c r="F274" s="25">
        <v>1</v>
      </c>
      <c r="G274" s="74"/>
      <c r="H274" s="105"/>
      <c r="I274" s="106"/>
      <c r="J274" s="75"/>
      <c r="K274" s="74" t="s">
        <v>529</v>
      </c>
      <c r="L274" s="105" t="str">
        <f>"2/3"</f>
        <v>2/3</v>
      </c>
      <c r="M274" s="106"/>
      <c r="N274" s="354"/>
    </row>
    <row r="275" spans="1:14" ht="10.9" customHeight="1">
      <c r="A275" s="291" t="s">
        <v>300</v>
      </c>
      <c r="B275" s="76">
        <v>40</v>
      </c>
      <c r="C275" s="77">
        <v>1</v>
      </c>
      <c r="D275" s="78"/>
      <c r="E275" s="77">
        <v>1</v>
      </c>
      <c r="F275" s="78">
        <v>1</v>
      </c>
      <c r="G275" s="79"/>
      <c r="H275" s="81"/>
      <c r="I275" s="82"/>
      <c r="J275" s="80"/>
      <c r="K275" s="79" t="s">
        <v>530</v>
      </c>
      <c r="L275" s="81" t="str">
        <f>"2/3"</f>
        <v>2/3</v>
      </c>
      <c r="M275" s="82"/>
      <c r="N275" s="355"/>
    </row>
    <row r="276" spans="1:14" ht="10.9" customHeight="1">
      <c r="A276" s="292" t="s">
        <v>291</v>
      </c>
      <c r="B276" s="26">
        <v>10</v>
      </c>
      <c r="C276" s="24">
        <v>1</v>
      </c>
      <c r="D276" s="25">
        <v>1</v>
      </c>
      <c r="E276" s="24"/>
      <c r="F276" s="25"/>
      <c r="G276" s="74"/>
      <c r="H276" s="105"/>
      <c r="I276" s="106"/>
      <c r="J276" s="75"/>
      <c r="K276" s="74" t="s">
        <v>531</v>
      </c>
      <c r="L276" s="105" t="str">
        <f>"1/3"</f>
        <v>1/3</v>
      </c>
      <c r="M276" s="106" t="s">
        <v>532</v>
      </c>
      <c r="N276" s="354" t="str">
        <f>"1/3"</f>
        <v>1/3</v>
      </c>
    </row>
    <row r="277" spans="1:14" ht="10.9" customHeight="1">
      <c r="A277" s="360" t="s">
        <v>296</v>
      </c>
      <c r="B277" s="94">
        <v>15</v>
      </c>
      <c r="C277" s="95">
        <v>1</v>
      </c>
      <c r="D277" s="96">
        <v>1</v>
      </c>
      <c r="E277" s="95"/>
      <c r="F277" s="96"/>
      <c r="G277" s="97"/>
      <c r="H277" s="98"/>
      <c r="I277" s="99"/>
      <c r="J277" s="100"/>
      <c r="K277" s="97" t="s">
        <v>533</v>
      </c>
      <c r="L277" s="98" t="str">
        <f>"1/3"</f>
        <v>1/3</v>
      </c>
      <c r="M277" s="99"/>
      <c r="N277" s="361"/>
    </row>
    <row r="278" spans="1:14" ht="10.9" customHeight="1">
      <c r="A278" s="292" t="s">
        <v>323</v>
      </c>
      <c r="B278" s="26" t="s">
        <v>534</v>
      </c>
      <c r="C278" s="24">
        <v>1</v>
      </c>
      <c r="D278" s="25"/>
      <c r="E278" s="24"/>
      <c r="F278" s="25"/>
      <c r="G278" s="74"/>
      <c r="H278" s="105"/>
      <c r="I278" s="106"/>
      <c r="J278" s="75"/>
      <c r="K278" s="74" t="s">
        <v>535</v>
      </c>
      <c r="L278" s="91" t="s">
        <v>1273</v>
      </c>
      <c r="M278" s="106"/>
      <c r="N278" s="354"/>
    </row>
    <row r="279" spans="1:14" ht="10.9" customHeight="1">
      <c r="A279" s="291" t="s">
        <v>715</v>
      </c>
      <c r="B279" s="76">
        <v>100</v>
      </c>
      <c r="C279" s="77"/>
      <c r="D279" s="78"/>
      <c r="E279" s="77">
        <v>6</v>
      </c>
      <c r="F279" s="78">
        <v>1</v>
      </c>
      <c r="G279" s="79"/>
      <c r="H279" s="81"/>
      <c r="I279" s="82"/>
      <c r="J279" s="80"/>
      <c r="K279" s="79" t="s">
        <v>536</v>
      </c>
      <c r="L279" s="81" t="str">
        <f>"2/3"</f>
        <v>2/3</v>
      </c>
      <c r="M279" s="82"/>
      <c r="N279" s="355"/>
    </row>
    <row r="280" spans="1:14" ht="10.9" customHeight="1">
      <c r="A280" s="292" t="s">
        <v>719</v>
      </c>
      <c r="B280" s="26">
        <v>100</v>
      </c>
      <c r="C280" s="24"/>
      <c r="D280" s="25"/>
      <c r="E280" s="24">
        <v>3</v>
      </c>
      <c r="F280" s="25">
        <v>1</v>
      </c>
      <c r="G280" s="74"/>
      <c r="H280" s="105"/>
      <c r="I280" s="106"/>
      <c r="J280" s="75"/>
      <c r="K280" s="74"/>
      <c r="L280" s="105"/>
      <c r="M280" s="106"/>
      <c r="N280" s="354"/>
    </row>
    <row r="281" spans="1:14" ht="10.9" customHeight="1">
      <c r="A281" s="291" t="s">
        <v>722</v>
      </c>
      <c r="B281" s="76">
        <v>100</v>
      </c>
      <c r="C281" s="77"/>
      <c r="D281" s="78"/>
      <c r="E281" s="77">
        <v>5</v>
      </c>
      <c r="F281" s="78">
        <v>1</v>
      </c>
      <c r="G281" s="79"/>
      <c r="H281" s="81"/>
      <c r="I281" s="82"/>
      <c r="J281" s="80"/>
      <c r="K281" s="79"/>
      <c r="L281" s="98"/>
      <c r="M281" s="82"/>
      <c r="N281" s="355"/>
    </row>
    <row r="282" spans="1:14" ht="10.9" customHeight="1">
      <c r="A282" s="358" t="s">
        <v>305</v>
      </c>
      <c r="B282" s="87">
        <v>36</v>
      </c>
      <c r="C282" s="88"/>
      <c r="D282" s="89"/>
      <c r="E282" s="88">
        <v>6</v>
      </c>
      <c r="F282" s="89"/>
      <c r="G282" s="90" t="s">
        <v>537</v>
      </c>
      <c r="H282" s="91"/>
      <c r="I282" s="92"/>
      <c r="J282" s="93"/>
      <c r="K282" s="90" t="s">
        <v>538</v>
      </c>
      <c r="L282" s="91" t="str">
        <f>"2/3"</f>
        <v>2/3</v>
      </c>
      <c r="M282" s="92" t="s">
        <v>539</v>
      </c>
      <c r="N282" s="359" t="str">
        <f>"1/3"</f>
        <v>1/3</v>
      </c>
    </row>
    <row r="283" spans="1:14" ht="10.9" customHeight="1">
      <c r="A283" s="291" t="s">
        <v>308</v>
      </c>
      <c r="B283" s="76">
        <v>48</v>
      </c>
      <c r="C283" s="77">
        <v>1</v>
      </c>
      <c r="D283" s="78"/>
      <c r="E283" s="77"/>
      <c r="F283" s="78"/>
      <c r="G283" s="79" t="s">
        <v>537</v>
      </c>
      <c r="H283" s="81"/>
      <c r="I283" s="82"/>
      <c r="J283" s="80"/>
      <c r="K283" s="79"/>
      <c r="L283" s="81"/>
      <c r="M283" s="82"/>
      <c r="N283" s="355"/>
    </row>
    <row r="284" spans="1:14" ht="10.9" customHeight="1">
      <c r="A284" s="292" t="s">
        <v>310</v>
      </c>
      <c r="B284" s="26">
        <v>42</v>
      </c>
      <c r="C284" s="24"/>
      <c r="D284" s="25"/>
      <c r="E284" s="24">
        <v>12</v>
      </c>
      <c r="F284" s="25">
        <v>1</v>
      </c>
      <c r="G284" s="74" t="s">
        <v>537</v>
      </c>
      <c r="H284" s="105"/>
      <c r="I284" s="106"/>
      <c r="J284" s="75"/>
      <c r="K284" s="74" t="s">
        <v>525</v>
      </c>
      <c r="L284" s="105" t="str">
        <f>"1/3"</f>
        <v>1/3</v>
      </c>
      <c r="M284" s="106"/>
      <c r="N284" s="354"/>
    </row>
    <row r="285" spans="1:14" ht="10.9" customHeight="1">
      <c r="A285" s="291" t="s">
        <v>312</v>
      </c>
      <c r="B285" s="76" t="s">
        <v>534</v>
      </c>
      <c r="C285" s="77">
        <v>1</v>
      </c>
      <c r="D285" s="78"/>
      <c r="E285" s="77"/>
      <c r="F285" s="78"/>
      <c r="G285" s="79" t="s">
        <v>537</v>
      </c>
      <c r="H285" s="81"/>
      <c r="I285" s="82"/>
      <c r="J285" s="80"/>
      <c r="K285" s="79" t="s">
        <v>540</v>
      </c>
      <c r="L285" s="81" t="str">
        <f>"2/3"</f>
        <v>2/3</v>
      </c>
      <c r="M285" s="82"/>
      <c r="N285" s="355"/>
    </row>
    <row r="286" spans="1:14" ht="10.9" customHeight="1">
      <c r="A286" s="292" t="s">
        <v>315</v>
      </c>
      <c r="B286" s="26">
        <v>25</v>
      </c>
      <c r="C286" s="24">
        <v>1</v>
      </c>
      <c r="D286" s="25"/>
      <c r="E286" s="24"/>
      <c r="F286" s="25"/>
      <c r="G286" s="74" t="s">
        <v>537</v>
      </c>
      <c r="H286" s="105"/>
      <c r="I286" s="106"/>
      <c r="J286" s="75"/>
      <c r="K286" s="74" t="s">
        <v>541</v>
      </c>
      <c r="L286" s="105" t="str">
        <f>"100%"</f>
        <v>100%</v>
      </c>
      <c r="M286" s="106"/>
      <c r="N286" s="354"/>
    </row>
    <row r="287" spans="1:14" ht="10.9" customHeight="1">
      <c r="A287" s="291" t="s">
        <v>317</v>
      </c>
      <c r="B287" s="76">
        <v>75</v>
      </c>
      <c r="C287" s="77"/>
      <c r="D287" s="78"/>
      <c r="E287" s="77">
        <v>12</v>
      </c>
      <c r="F287" s="78"/>
      <c r="G287" s="79" t="s">
        <v>537</v>
      </c>
      <c r="H287" s="81"/>
      <c r="I287" s="82"/>
      <c r="J287" s="80"/>
      <c r="K287" s="79" t="s">
        <v>524</v>
      </c>
      <c r="L287" s="81" t="str">
        <f>"1/3"</f>
        <v>1/3</v>
      </c>
      <c r="M287" s="82"/>
      <c r="N287" s="355"/>
    </row>
    <row r="288" spans="1:14" ht="10.9" customHeight="1">
      <c r="A288" s="292" t="s">
        <v>313</v>
      </c>
      <c r="B288" s="26" t="s">
        <v>534</v>
      </c>
      <c r="C288" s="24">
        <v>1</v>
      </c>
      <c r="D288" s="25"/>
      <c r="E288" s="24"/>
      <c r="F288" s="25"/>
      <c r="G288" s="74" t="s">
        <v>537</v>
      </c>
      <c r="H288" s="105"/>
      <c r="I288" s="106"/>
      <c r="J288" s="75"/>
      <c r="K288" s="74" t="s">
        <v>542</v>
      </c>
      <c r="L288" s="105" t="str">
        <f>"1/3"</f>
        <v>1/3</v>
      </c>
      <c r="M288" s="106" t="s">
        <v>543</v>
      </c>
      <c r="N288" s="354" t="str">
        <f>"2/3"</f>
        <v>2/3</v>
      </c>
    </row>
    <row r="289" spans="1:14" ht="10.9" customHeight="1">
      <c r="A289" s="360" t="s">
        <v>319</v>
      </c>
      <c r="B289" s="94">
        <v>75</v>
      </c>
      <c r="C289" s="95"/>
      <c r="D289" s="96"/>
      <c r="E289" s="95">
        <v>6</v>
      </c>
      <c r="F289" s="96"/>
      <c r="G289" s="97" t="s">
        <v>537</v>
      </c>
      <c r="H289" s="98"/>
      <c r="I289" s="99"/>
      <c r="J289" s="100"/>
      <c r="K289" s="97"/>
      <c r="L289" s="98"/>
      <c r="M289" s="99"/>
      <c r="N289" s="361"/>
    </row>
    <row r="290" spans="1:14" ht="10.9" customHeight="1">
      <c r="A290" s="358" t="s">
        <v>304</v>
      </c>
      <c r="B290" s="87">
        <v>60</v>
      </c>
      <c r="C290" s="88">
        <v>1</v>
      </c>
      <c r="D290" s="89"/>
      <c r="E290" s="88">
        <v>18</v>
      </c>
      <c r="F290" s="89"/>
      <c r="G290" s="90" t="s">
        <v>544</v>
      </c>
      <c r="H290" s="91" t="str">
        <f>"7/16"</f>
        <v>7/16</v>
      </c>
      <c r="I290" s="92"/>
      <c r="J290" s="93"/>
      <c r="K290" s="90" t="s">
        <v>545</v>
      </c>
      <c r="L290" s="91" t="str">
        <f>"2/3"</f>
        <v>2/3</v>
      </c>
      <c r="M290" s="92"/>
      <c r="N290" s="359"/>
    </row>
    <row r="291" spans="1:14" ht="10.9" customHeight="1">
      <c r="A291" s="291" t="s">
        <v>307</v>
      </c>
      <c r="B291" s="76">
        <v>25</v>
      </c>
      <c r="C291" s="77">
        <v>1</v>
      </c>
      <c r="D291" s="78"/>
      <c r="E291" s="107"/>
      <c r="F291" s="78"/>
      <c r="G291" s="79" t="s">
        <v>546</v>
      </c>
      <c r="H291" s="81" t="str">
        <f>"7/16"</f>
        <v>7/16</v>
      </c>
      <c r="I291" s="82"/>
      <c r="J291" s="80"/>
      <c r="K291" s="79"/>
      <c r="L291" s="81"/>
      <c r="M291" s="82"/>
      <c r="N291" s="355"/>
    </row>
    <row r="292" spans="1:14" ht="10.9" customHeight="1">
      <c r="A292" s="292" t="s">
        <v>309</v>
      </c>
      <c r="B292" s="26">
        <v>90</v>
      </c>
      <c r="C292" s="24"/>
      <c r="D292" s="25"/>
      <c r="E292" s="24">
        <v>13</v>
      </c>
      <c r="F292" s="25"/>
      <c r="G292" s="74" t="s">
        <v>547</v>
      </c>
      <c r="H292" s="105" t="str">
        <f>"7/16"</f>
        <v>7/16</v>
      </c>
      <c r="I292" s="106"/>
      <c r="J292" s="75"/>
      <c r="K292" s="74"/>
      <c r="L292" s="105"/>
      <c r="M292" s="106"/>
      <c r="N292" s="354"/>
    </row>
    <row r="293" spans="1:14" ht="10.9" customHeight="1">
      <c r="A293" s="291" t="s">
        <v>311</v>
      </c>
      <c r="B293" s="76" t="str">
        <f>"(3/4)"</f>
        <v>(3/4)</v>
      </c>
      <c r="C293" s="77">
        <v>12</v>
      </c>
      <c r="D293" s="78"/>
      <c r="E293" s="77">
        <v>18</v>
      </c>
      <c r="F293" s="78"/>
      <c r="G293" s="79" t="s">
        <v>548</v>
      </c>
      <c r="H293" s="81" t="str">
        <f>"7/16"</f>
        <v>7/16</v>
      </c>
      <c r="I293" s="82"/>
      <c r="J293" s="80"/>
      <c r="K293" s="79" t="s">
        <v>549</v>
      </c>
      <c r="L293" s="81" t="str">
        <f>"2/3"</f>
        <v>2/3</v>
      </c>
      <c r="M293" s="82" t="s">
        <v>550</v>
      </c>
      <c r="N293" s="355" t="str">
        <f>"2/3"</f>
        <v>2/3</v>
      </c>
    </row>
    <row r="294" spans="1:14" ht="10.9" customHeight="1">
      <c r="A294" s="292" t="s">
        <v>341</v>
      </c>
      <c r="B294" s="26">
        <v>120</v>
      </c>
      <c r="C294" s="24"/>
      <c r="D294" s="25"/>
      <c r="E294" s="24"/>
      <c r="F294" s="25"/>
      <c r="G294" s="74" t="s">
        <v>551</v>
      </c>
      <c r="H294" s="105" t="str">
        <f>"1/16"</f>
        <v>1/16</v>
      </c>
      <c r="I294" s="106"/>
      <c r="J294" s="75"/>
      <c r="K294" s="74"/>
      <c r="L294" s="105"/>
      <c r="M294" s="106"/>
      <c r="N294" s="354"/>
    </row>
    <row r="295" spans="1:14" ht="10.9" customHeight="1">
      <c r="A295" s="291" t="s">
        <v>314</v>
      </c>
      <c r="B295" s="76">
        <v>60</v>
      </c>
      <c r="C295" s="77"/>
      <c r="D295" s="78"/>
      <c r="E295" s="77">
        <v>6</v>
      </c>
      <c r="F295" s="78"/>
      <c r="G295" s="79" t="s">
        <v>552</v>
      </c>
      <c r="H295" s="81" t="str">
        <f>"7/16"</f>
        <v>7/16</v>
      </c>
      <c r="I295" s="82"/>
      <c r="J295" s="80"/>
      <c r="K295" s="79"/>
      <c r="L295" s="81"/>
      <c r="M295" s="82"/>
      <c r="N295" s="355"/>
    </row>
    <row r="296" spans="1:14" ht="10.9" customHeight="1">
      <c r="A296" s="292" t="s">
        <v>316</v>
      </c>
      <c r="B296" s="26">
        <v>72</v>
      </c>
      <c r="C296" s="24"/>
      <c r="D296" s="25"/>
      <c r="E296" s="24">
        <v>3</v>
      </c>
      <c r="F296" s="25"/>
      <c r="G296" s="74" t="s">
        <v>553</v>
      </c>
      <c r="H296" s="105" t="str">
        <f>"3/16"</f>
        <v>3/16</v>
      </c>
      <c r="I296" s="106" t="s">
        <v>548</v>
      </c>
      <c r="J296" s="75" t="str">
        <f>"3/16"</f>
        <v>3/16</v>
      </c>
      <c r="K296" s="74" t="s">
        <v>527</v>
      </c>
      <c r="L296" s="105" t="str">
        <f>"1/3"</f>
        <v>1/3</v>
      </c>
      <c r="M296" s="106"/>
      <c r="N296" s="354"/>
    </row>
    <row r="297" spans="1:14" ht="10.9" customHeight="1">
      <c r="A297" s="291" t="s">
        <v>330</v>
      </c>
      <c r="B297" s="76">
        <v>10</v>
      </c>
      <c r="C297" s="77">
        <v>1</v>
      </c>
      <c r="D297" s="78">
        <v>1</v>
      </c>
      <c r="E297" s="77"/>
      <c r="F297" s="78"/>
      <c r="G297" s="79" t="s">
        <v>553</v>
      </c>
      <c r="H297" s="81" t="str">
        <f>"7/16"</f>
        <v>7/16</v>
      </c>
      <c r="I297" s="82"/>
      <c r="J297" s="80"/>
      <c r="K297" s="79" t="s">
        <v>554</v>
      </c>
      <c r="L297" s="81" t="str">
        <f>"1/3"</f>
        <v>1/3</v>
      </c>
      <c r="M297" s="82" t="s">
        <v>555</v>
      </c>
      <c r="N297" s="355" t="str">
        <f>"2/3"</f>
        <v>2/3</v>
      </c>
    </row>
    <row r="298" spans="1:14" ht="10.9" customHeight="1">
      <c r="A298" s="292" t="s">
        <v>318</v>
      </c>
      <c r="B298" s="26">
        <v>90</v>
      </c>
      <c r="C298" s="24"/>
      <c r="D298" s="25"/>
      <c r="E298" s="24">
        <v>1</v>
      </c>
      <c r="F298" s="25">
        <v>1</v>
      </c>
      <c r="G298" s="74" t="s">
        <v>548</v>
      </c>
      <c r="H298" s="105" t="str">
        <f>"3/16"</f>
        <v>3/16</v>
      </c>
      <c r="I298" s="106" t="s">
        <v>546</v>
      </c>
      <c r="J298" s="75" t="str">
        <f>"5/16"</f>
        <v>5/16</v>
      </c>
      <c r="K298" s="74" t="s">
        <v>539</v>
      </c>
      <c r="L298" s="105" t="str">
        <f>"2/3"</f>
        <v>2/3</v>
      </c>
      <c r="M298" s="106"/>
      <c r="N298" s="354"/>
    </row>
    <row r="299" spans="1:14" ht="10.9" customHeight="1">
      <c r="A299" s="291" t="s">
        <v>320</v>
      </c>
      <c r="B299" s="76">
        <v>72</v>
      </c>
      <c r="C299" s="77"/>
      <c r="D299" s="78"/>
      <c r="E299" s="77">
        <v>10</v>
      </c>
      <c r="F299" s="78"/>
      <c r="G299" s="79" t="s">
        <v>552</v>
      </c>
      <c r="H299" s="81" t="str">
        <f>"5/16"</f>
        <v>5/16</v>
      </c>
      <c r="I299" s="82"/>
      <c r="J299" s="80"/>
      <c r="K299" s="79" t="s">
        <v>556</v>
      </c>
      <c r="L299" s="81" t="str">
        <f>"2/3"</f>
        <v>2/3</v>
      </c>
      <c r="M299" s="82"/>
      <c r="N299" s="355"/>
    </row>
    <row r="300" spans="1:14" ht="10.9" customHeight="1">
      <c r="A300" s="292" t="s">
        <v>321</v>
      </c>
      <c r="B300" s="26">
        <v>100</v>
      </c>
      <c r="C300" s="24"/>
      <c r="D300" s="25"/>
      <c r="E300" s="24">
        <v>16</v>
      </c>
      <c r="F300" s="25">
        <v>1</v>
      </c>
      <c r="G300" s="74" t="s">
        <v>551</v>
      </c>
      <c r="H300" s="105" t="str">
        <f>"3/16"</f>
        <v>3/16</v>
      </c>
      <c r="I300" s="106" t="s">
        <v>553</v>
      </c>
      <c r="J300" s="75" t="str">
        <f>"5/16"</f>
        <v>5/16</v>
      </c>
      <c r="K300" s="74" t="s">
        <v>554</v>
      </c>
      <c r="L300" s="105" t="str">
        <f>"2/3"</f>
        <v>2/3</v>
      </c>
      <c r="M300" s="106" t="s">
        <v>523</v>
      </c>
      <c r="N300" s="354" t="str">
        <f>"1/3"</f>
        <v>1/3</v>
      </c>
    </row>
    <row r="301" spans="1:14" ht="10.9" customHeight="1">
      <c r="A301" s="291" t="s">
        <v>322</v>
      </c>
      <c r="B301" s="76">
        <v>42</v>
      </c>
      <c r="C301" s="77"/>
      <c r="D301" s="78"/>
      <c r="E301" s="77">
        <v>16</v>
      </c>
      <c r="F301" s="78"/>
      <c r="G301" s="79" t="s">
        <v>557</v>
      </c>
      <c r="H301" s="81" t="str">
        <f>"7/16"</f>
        <v>7/16</v>
      </c>
      <c r="I301" s="82"/>
      <c r="J301" s="80"/>
      <c r="K301" s="79" t="s">
        <v>558</v>
      </c>
      <c r="L301" s="81" t="str">
        <f>"2/3"</f>
        <v>2/3</v>
      </c>
      <c r="M301" s="82"/>
      <c r="N301" s="355"/>
    </row>
    <row r="302" spans="1:14" ht="10.9" customHeight="1">
      <c r="A302" s="292" t="s">
        <v>331</v>
      </c>
      <c r="B302" s="26">
        <v>20</v>
      </c>
      <c r="C302" s="24">
        <v>1</v>
      </c>
      <c r="D302" s="25">
        <v>1</v>
      </c>
      <c r="E302" s="24"/>
      <c r="F302" s="25"/>
      <c r="G302" s="74" t="s">
        <v>551</v>
      </c>
      <c r="H302" s="105" t="str">
        <f>"7/16"</f>
        <v>7/16</v>
      </c>
      <c r="I302" s="106" t="s">
        <v>544</v>
      </c>
      <c r="J302" s="75" t="str">
        <f>"5/16"</f>
        <v>5/16</v>
      </c>
      <c r="K302" s="74" t="s">
        <v>559</v>
      </c>
      <c r="L302" s="105" t="str">
        <f>"1/3"</f>
        <v>1/3</v>
      </c>
      <c r="M302" s="106" t="s">
        <v>522</v>
      </c>
      <c r="N302" s="354" t="str">
        <f>"2/3"</f>
        <v>2/3</v>
      </c>
    </row>
    <row r="303" spans="1:14" ht="10.9" customHeight="1">
      <c r="A303" s="291" t="s">
        <v>324</v>
      </c>
      <c r="B303" s="76">
        <v>90</v>
      </c>
      <c r="C303" s="77"/>
      <c r="D303" s="78"/>
      <c r="E303" s="77">
        <v>9</v>
      </c>
      <c r="F303" s="78"/>
      <c r="G303" s="79" t="s">
        <v>552</v>
      </c>
      <c r="H303" s="81" t="str">
        <f>"3/16"</f>
        <v>3/16</v>
      </c>
      <c r="I303" s="82" t="s">
        <v>547</v>
      </c>
      <c r="J303" s="80" t="str">
        <f>"5/16"</f>
        <v>5/16</v>
      </c>
      <c r="K303" s="79"/>
      <c r="L303" s="81"/>
      <c r="M303" s="82"/>
      <c r="N303" s="355"/>
    </row>
    <row r="304" spans="1:14" ht="10.9" customHeight="1">
      <c r="A304" s="292" t="s">
        <v>325</v>
      </c>
      <c r="B304" s="26">
        <v>2</v>
      </c>
      <c r="C304" s="24"/>
      <c r="D304" s="25"/>
      <c r="E304" s="52"/>
      <c r="F304" s="25"/>
      <c r="G304" s="74" t="s">
        <v>546</v>
      </c>
      <c r="H304" s="105" t="str">
        <f>"1/16"</f>
        <v>1/16</v>
      </c>
      <c r="I304" s="106"/>
      <c r="J304" s="75"/>
      <c r="K304" s="74"/>
      <c r="L304" s="105"/>
      <c r="M304" s="106"/>
      <c r="N304" s="354"/>
    </row>
    <row r="305" spans="1:14" ht="10.9" customHeight="1">
      <c r="A305" s="291" t="s">
        <v>326</v>
      </c>
      <c r="B305" s="76">
        <v>180</v>
      </c>
      <c r="C305" s="77"/>
      <c r="D305" s="78"/>
      <c r="E305" s="77">
        <v>2</v>
      </c>
      <c r="F305" s="78"/>
      <c r="G305" s="79" t="s">
        <v>552</v>
      </c>
      <c r="H305" s="81" t="str">
        <f>"1/16"</f>
        <v>1/16</v>
      </c>
      <c r="I305" s="82"/>
      <c r="J305" s="80"/>
      <c r="K305" s="79"/>
      <c r="L305" s="81"/>
      <c r="M305" s="82"/>
      <c r="N305" s="355"/>
    </row>
    <row r="306" spans="1:14" ht="10.9" customHeight="1">
      <c r="A306" s="292" t="s">
        <v>327</v>
      </c>
      <c r="B306" s="26">
        <v>120</v>
      </c>
      <c r="C306" s="24">
        <v>1</v>
      </c>
      <c r="D306" s="25"/>
      <c r="E306" s="24"/>
      <c r="F306" s="25"/>
      <c r="G306" s="74" t="s">
        <v>544</v>
      </c>
      <c r="H306" s="105" t="str">
        <f>"1/16"</f>
        <v>1/16</v>
      </c>
      <c r="I306" s="106"/>
      <c r="J306" s="75"/>
      <c r="K306" s="74"/>
      <c r="L306" s="105"/>
      <c r="M306" s="106"/>
      <c r="N306" s="354"/>
    </row>
    <row r="307" spans="1:14" ht="10.9" customHeight="1">
      <c r="A307" s="291" t="s">
        <v>328</v>
      </c>
      <c r="B307" s="76">
        <v>50</v>
      </c>
      <c r="C307" s="77"/>
      <c r="D307" s="78"/>
      <c r="E307" s="77">
        <v>17</v>
      </c>
      <c r="F307" s="78"/>
      <c r="G307" s="79" t="s">
        <v>551</v>
      </c>
      <c r="H307" s="81" t="str">
        <f>"5/16"</f>
        <v>5/16</v>
      </c>
      <c r="I307" s="82" t="s">
        <v>544</v>
      </c>
      <c r="J307" s="80" t="str">
        <f>"3/16"</f>
        <v>3/16</v>
      </c>
      <c r="K307" s="79" t="s">
        <v>560</v>
      </c>
      <c r="L307" s="81" t="str">
        <f>"2/3"</f>
        <v>2/3</v>
      </c>
      <c r="M307" s="82"/>
      <c r="N307" s="355"/>
    </row>
    <row r="308" spans="1:14" ht="10.9" customHeight="1">
      <c r="A308" s="356" t="s">
        <v>329</v>
      </c>
      <c r="B308" s="31">
        <v>100</v>
      </c>
      <c r="C308" s="28"/>
      <c r="D308" s="30"/>
      <c r="E308" s="108"/>
      <c r="F308" s="30"/>
      <c r="G308" s="83" t="s">
        <v>548</v>
      </c>
      <c r="H308" s="84" t="str">
        <f>"1/16"</f>
        <v>1/16</v>
      </c>
      <c r="I308" s="85"/>
      <c r="J308" s="86"/>
      <c r="K308" s="83"/>
      <c r="L308" s="84"/>
      <c r="M308" s="85"/>
      <c r="N308" s="357"/>
    </row>
    <row r="309" spans="1:14" ht="10.9" customHeight="1">
      <c r="A309" s="297" t="s">
        <v>332</v>
      </c>
      <c r="B309" s="67">
        <v>120</v>
      </c>
      <c r="C309" s="68"/>
      <c r="D309" s="69"/>
      <c r="E309" s="68">
        <v>4</v>
      </c>
      <c r="F309" s="69"/>
      <c r="G309" s="101"/>
      <c r="H309" s="102"/>
      <c r="I309" s="103"/>
      <c r="J309" s="104"/>
      <c r="K309" s="101" t="s">
        <v>561</v>
      </c>
      <c r="L309" s="102" t="str">
        <f>"1/3"</f>
        <v>1/3</v>
      </c>
      <c r="M309" s="103"/>
      <c r="N309" s="362"/>
    </row>
    <row r="310" spans="1:14" ht="10.9" customHeight="1">
      <c r="A310" s="292" t="s">
        <v>333</v>
      </c>
      <c r="B310" s="26">
        <v>30</v>
      </c>
      <c r="C310" s="24"/>
      <c r="D310" s="25"/>
      <c r="E310" s="24">
        <v>6</v>
      </c>
      <c r="F310" s="25"/>
      <c r="G310" s="74"/>
      <c r="H310" s="105"/>
      <c r="I310" s="106"/>
      <c r="J310" s="75"/>
      <c r="K310" s="74" t="s">
        <v>519</v>
      </c>
      <c r="L310" s="105" t="str">
        <f>"2/3"</f>
        <v>2/3</v>
      </c>
      <c r="M310" s="106"/>
      <c r="N310" s="354"/>
    </row>
    <row r="311" spans="1:14" ht="10.9" customHeight="1">
      <c r="A311" s="291" t="s">
        <v>334</v>
      </c>
      <c r="B311" s="76">
        <v>75</v>
      </c>
      <c r="C311" s="77"/>
      <c r="D311" s="78"/>
      <c r="E311" s="77">
        <v>17</v>
      </c>
      <c r="F311" s="78"/>
      <c r="G311" s="79"/>
      <c r="H311" s="81"/>
      <c r="I311" s="82"/>
      <c r="J311" s="80"/>
      <c r="K311" s="79" t="s">
        <v>562</v>
      </c>
      <c r="L311" s="81" t="str">
        <f>"2/3"</f>
        <v>2/3</v>
      </c>
      <c r="M311" s="82"/>
      <c r="N311" s="355"/>
    </row>
    <row r="312" spans="1:14" ht="10.9" customHeight="1">
      <c r="A312" s="292" t="s">
        <v>335</v>
      </c>
      <c r="B312" s="26" t="str">
        <f>"(1/2)"</f>
        <v>(1/2)</v>
      </c>
      <c r="C312" s="24"/>
      <c r="D312" s="25"/>
      <c r="E312" s="24">
        <v>17</v>
      </c>
      <c r="F312" s="25"/>
      <c r="G312" s="74"/>
      <c r="H312" s="105"/>
      <c r="I312" s="106"/>
      <c r="J312" s="75"/>
      <c r="K312" s="74" t="s">
        <v>560</v>
      </c>
      <c r="L312" s="105" t="str">
        <f>"1/3"</f>
        <v>1/3</v>
      </c>
      <c r="M312" s="106" t="s">
        <v>563</v>
      </c>
      <c r="N312" s="354" t="str">
        <f>"1/3"</f>
        <v>1/3</v>
      </c>
    </row>
    <row r="313" spans="1:14" ht="10.9" customHeight="1">
      <c r="A313" s="291" t="s">
        <v>336</v>
      </c>
      <c r="B313" s="76">
        <v>90</v>
      </c>
      <c r="C313" s="77"/>
      <c r="D313" s="78"/>
      <c r="E313" s="77"/>
      <c r="F313" s="78"/>
      <c r="G313" s="79"/>
      <c r="H313" s="81"/>
      <c r="I313" s="82"/>
      <c r="J313" s="80"/>
      <c r="K313" s="79" t="s">
        <v>564</v>
      </c>
      <c r="L313" s="81" t="str">
        <f>"2/3"</f>
        <v>2/3</v>
      </c>
      <c r="M313" s="82"/>
      <c r="N313" s="355"/>
    </row>
    <row r="314" spans="1:14" ht="10.9" customHeight="1">
      <c r="A314" s="292" t="s">
        <v>337</v>
      </c>
      <c r="B314" s="26">
        <v>45</v>
      </c>
      <c r="C314" s="24"/>
      <c r="D314" s="25"/>
      <c r="E314" s="24">
        <v>2</v>
      </c>
      <c r="F314" s="25"/>
      <c r="G314" s="74"/>
      <c r="H314" s="105"/>
      <c r="I314" s="106"/>
      <c r="J314" s="75"/>
      <c r="K314" s="74" t="s">
        <v>565</v>
      </c>
      <c r="L314" s="105" t="str">
        <f>"2/3"</f>
        <v>2/3</v>
      </c>
      <c r="M314" s="106"/>
      <c r="N314" s="354"/>
    </row>
    <row r="315" spans="1:14" ht="10.9" customHeight="1">
      <c r="A315" s="291" t="s">
        <v>338</v>
      </c>
      <c r="B315" s="76">
        <v>45</v>
      </c>
      <c r="C315" s="77"/>
      <c r="D315" s="78"/>
      <c r="E315" s="77">
        <v>11</v>
      </c>
      <c r="F315" s="78">
        <v>1</v>
      </c>
      <c r="G315" s="79"/>
      <c r="H315" s="81"/>
      <c r="I315" s="82"/>
      <c r="J315" s="80"/>
      <c r="K315" s="79" t="s">
        <v>562</v>
      </c>
      <c r="L315" s="81" t="str">
        <f>"1/3"</f>
        <v>1/3</v>
      </c>
      <c r="M315" s="82"/>
      <c r="N315" s="355"/>
    </row>
    <row r="316" spans="1:14" ht="10.9" customHeight="1">
      <c r="A316" s="292" t="s">
        <v>339</v>
      </c>
      <c r="B316" s="26">
        <v>60</v>
      </c>
      <c r="C316" s="24"/>
      <c r="D316" s="25"/>
      <c r="E316" s="24"/>
      <c r="F316" s="25"/>
      <c r="G316" s="74"/>
      <c r="H316" s="105"/>
      <c r="I316" s="106"/>
      <c r="J316" s="75"/>
      <c r="K316" s="74" t="s">
        <v>566</v>
      </c>
      <c r="L316" s="105" t="str">
        <f>"2/3"</f>
        <v>2/3</v>
      </c>
      <c r="M316" s="106"/>
      <c r="N316" s="354"/>
    </row>
    <row r="317" spans="1:14" ht="10.9" customHeight="1">
      <c r="A317" s="291" t="s">
        <v>340</v>
      </c>
      <c r="B317" s="76">
        <v>90</v>
      </c>
      <c r="C317" s="77"/>
      <c r="D317" s="78"/>
      <c r="E317" s="77">
        <v>5</v>
      </c>
      <c r="F317" s="78">
        <v>1</v>
      </c>
      <c r="G317" s="79"/>
      <c r="H317" s="81"/>
      <c r="I317" s="82"/>
      <c r="J317" s="80"/>
      <c r="K317" s="79" t="s">
        <v>564</v>
      </c>
      <c r="L317" s="81" t="str">
        <f>"1/3"</f>
        <v>1/3</v>
      </c>
      <c r="M317" s="82"/>
      <c r="N317" s="355"/>
    </row>
    <row r="318" spans="1:14" ht="10.9" customHeight="1">
      <c r="A318" s="292" t="s">
        <v>342</v>
      </c>
      <c r="B318" s="26">
        <v>75</v>
      </c>
      <c r="C318" s="24"/>
      <c r="D318" s="25"/>
      <c r="E318" s="24">
        <v>5</v>
      </c>
      <c r="F318" s="25"/>
      <c r="G318" s="74"/>
      <c r="H318" s="105"/>
      <c r="I318" s="106"/>
      <c r="J318" s="75"/>
      <c r="K318" s="74" t="s">
        <v>567</v>
      </c>
      <c r="L318" s="105" t="str">
        <f>"2/3"</f>
        <v>2/3</v>
      </c>
      <c r="M318" s="106"/>
      <c r="N318" s="354"/>
    </row>
    <row r="319" spans="1:14" ht="10.9" customHeight="1">
      <c r="A319" s="291" t="s">
        <v>1270</v>
      </c>
      <c r="B319" s="76" t="s">
        <v>534</v>
      </c>
      <c r="C319" s="77">
        <v>1</v>
      </c>
      <c r="D319" s="78"/>
      <c r="E319" s="77"/>
      <c r="F319" s="78"/>
      <c r="G319" s="79"/>
      <c r="H319" s="81"/>
      <c r="I319" s="82"/>
      <c r="J319" s="80"/>
      <c r="K319" s="79" t="s">
        <v>1271</v>
      </c>
      <c r="L319" s="81" t="s">
        <v>1272</v>
      </c>
      <c r="M319" s="82"/>
      <c r="N319" s="355"/>
    </row>
    <row r="320" spans="1:14" ht="10.9" customHeight="1">
      <c r="A320" s="446" t="s">
        <v>343</v>
      </c>
      <c r="B320" s="448">
        <v>60</v>
      </c>
      <c r="C320" s="449"/>
      <c r="D320" s="450"/>
      <c r="E320" s="449">
        <v>3</v>
      </c>
      <c r="F320" s="450">
        <v>1</v>
      </c>
      <c r="G320" s="451"/>
      <c r="H320" s="452"/>
      <c r="I320" s="453"/>
      <c r="J320" s="454"/>
      <c r="K320" s="451" t="s">
        <v>568</v>
      </c>
      <c r="L320" s="452" t="str">
        <f>"2/3"</f>
        <v>2/3</v>
      </c>
      <c r="M320" s="453" t="s">
        <v>538</v>
      </c>
      <c r="N320" s="455" t="str">
        <f>"1/3"</f>
        <v>1/3</v>
      </c>
    </row>
    <row r="321" spans="1:14" ht="10.9" customHeight="1">
      <c r="A321" s="444" t="s">
        <v>344</v>
      </c>
      <c r="B321" s="76">
        <v>50</v>
      </c>
      <c r="C321" s="77"/>
      <c r="D321" s="78"/>
      <c r="E321" s="77">
        <v>8</v>
      </c>
      <c r="F321" s="78"/>
      <c r="G321" s="79"/>
      <c r="H321" s="81"/>
      <c r="I321" s="82"/>
      <c r="J321" s="80"/>
      <c r="K321" s="79" t="s">
        <v>569</v>
      </c>
      <c r="L321" s="81" t="str">
        <f>"1/3"</f>
        <v>1/3</v>
      </c>
      <c r="M321" s="82"/>
      <c r="N321" s="355"/>
    </row>
    <row r="322" spans="1:14" ht="10.9" customHeight="1">
      <c r="A322" s="446" t="s">
        <v>345</v>
      </c>
      <c r="B322" s="448">
        <v>60</v>
      </c>
      <c r="C322" s="449"/>
      <c r="D322" s="450"/>
      <c r="E322" s="449">
        <v>10</v>
      </c>
      <c r="F322" s="450"/>
      <c r="G322" s="451"/>
      <c r="H322" s="452"/>
      <c r="I322" s="453"/>
      <c r="J322" s="454"/>
      <c r="K322" s="451" t="s">
        <v>570</v>
      </c>
      <c r="L322" s="452" t="str">
        <f t="shared" ref="L322:L327" si="0">"2/3"</f>
        <v>2/3</v>
      </c>
      <c r="M322" s="453"/>
      <c r="N322" s="455"/>
    </row>
    <row r="323" spans="1:14" ht="10.9" customHeight="1">
      <c r="A323" s="444" t="s">
        <v>346</v>
      </c>
      <c r="B323" s="76">
        <v>25</v>
      </c>
      <c r="C323" s="77"/>
      <c r="D323" s="78"/>
      <c r="E323" s="77">
        <v>17</v>
      </c>
      <c r="F323" s="78"/>
      <c r="G323" s="79"/>
      <c r="H323" s="81"/>
      <c r="I323" s="82"/>
      <c r="J323" s="80"/>
      <c r="K323" s="79" t="s">
        <v>571</v>
      </c>
      <c r="L323" s="81" t="str">
        <f t="shared" si="0"/>
        <v>2/3</v>
      </c>
      <c r="M323" s="82"/>
      <c r="N323" s="355"/>
    </row>
    <row r="324" spans="1:14" ht="10.9" customHeight="1">
      <c r="A324" s="446" t="s">
        <v>347</v>
      </c>
      <c r="B324" s="448">
        <v>120</v>
      </c>
      <c r="C324" s="449"/>
      <c r="D324" s="450"/>
      <c r="E324" s="449">
        <v>14</v>
      </c>
      <c r="F324" s="450"/>
      <c r="G324" s="451"/>
      <c r="H324" s="452"/>
      <c r="I324" s="453"/>
      <c r="J324" s="454"/>
      <c r="K324" s="451" t="s">
        <v>563</v>
      </c>
      <c r="L324" s="452" t="str">
        <f t="shared" si="0"/>
        <v>2/3</v>
      </c>
      <c r="M324" s="453"/>
      <c r="N324" s="455"/>
    </row>
    <row r="325" spans="1:14" ht="10.9" customHeight="1">
      <c r="A325" s="444" t="s">
        <v>348</v>
      </c>
      <c r="B325" s="76">
        <v>60</v>
      </c>
      <c r="C325" s="77"/>
      <c r="D325" s="78"/>
      <c r="E325" s="77">
        <v>18</v>
      </c>
      <c r="F325" s="78"/>
      <c r="G325" s="79"/>
      <c r="H325" s="81"/>
      <c r="I325" s="82"/>
      <c r="J325" s="80"/>
      <c r="K325" s="79" t="s">
        <v>572</v>
      </c>
      <c r="L325" s="81" t="str">
        <f t="shared" si="0"/>
        <v>2/3</v>
      </c>
      <c r="M325" s="82"/>
      <c r="N325" s="355"/>
    </row>
    <row r="326" spans="1:14" ht="10.9" customHeight="1">
      <c r="A326" s="446" t="s">
        <v>349</v>
      </c>
      <c r="B326" s="448" t="str">
        <f>"(5/8)"</f>
        <v>(5/8)</v>
      </c>
      <c r="C326" s="449"/>
      <c r="D326" s="450"/>
      <c r="E326" s="449">
        <v>18</v>
      </c>
      <c r="F326" s="450"/>
      <c r="G326" s="451"/>
      <c r="H326" s="452"/>
      <c r="I326" s="453"/>
      <c r="J326" s="454"/>
      <c r="K326" s="451" t="s">
        <v>573</v>
      </c>
      <c r="L326" s="452" t="str">
        <f t="shared" si="0"/>
        <v>2/3</v>
      </c>
      <c r="M326" s="453"/>
      <c r="N326" s="455"/>
    </row>
    <row r="327" spans="1:14" ht="10.9" customHeight="1">
      <c r="A327" s="444" t="s">
        <v>350</v>
      </c>
      <c r="B327" s="76">
        <v>100</v>
      </c>
      <c r="C327" s="77"/>
      <c r="D327" s="78"/>
      <c r="E327" s="77">
        <v>18</v>
      </c>
      <c r="F327" s="78">
        <v>1</v>
      </c>
      <c r="G327" s="79"/>
      <c r="H327" s="81"/>
      <c r="I327" s="82"/>
      <c r="J327" s="80"/>
      <c r="K327" s="79" t="s">
        <v>574</v>
      </c>
      <c r="L327" s="81" t="str">
        <f t="shared" si="0"/>
        <v>2/3</v>
      </c>
      <c r="M327" s="82" t="s">
        <v>543</v>
      </c>
      <c r="N327" s="355" t="str">
        <f>"1/3"</f>
        <v>1/3</v>
      </c>
    </row>
    <row r="328" spans="1:14" ht="10.9" customHeight="1">
      <c r="A328" s="446" t="s">
        <v>351</v>
      </c>
      <c r="B328" s="448">
        <v>30</v>
      </c>
      <c r="C328" s="449"/>
      <c r="D328" s="450"/>
      <c r="E328" s="449">
        <v>14</v>
      </c>
      <c r="F328" s="450">
        <v>1</v>
      </c>
      <c r="G328" s="451"/>
      <c r="H328" s="452"/>
      <c r="I328" s="453"/>
      <c r="J328" s="454"/>
      <c r="K328" s="451" t="s">
        <v>575</v>
      </c>
      <c r="L328" s="452" t="str">
        <f>"1/3"</f>
        <v>1/3</v>
      </c>
      <c r="M328" s="453"/>
      <c r="N328" s="455"/>
    </row>
    <row r="329" spans="1:14" ht="10.9" customHeight="1">
      <c r="A329" s="444" t="s">
        <v>352</v>
      </c>
      <c r="B329" s="76">
        <v>60</v>
      </c>
      <c r="C329" s="77">
        <v>1</v>
      </c>
      <c r="D329" s="78"/>
      <c r="E329" s="77"/>
      <c r="F329" s="78"/>
      <c r="G329" s="79"/>
      <c r="H329" s="81"/>
      <c r="I329" s="82"/>
      <c r="J329" s="80"/>
      <c r="K329" s="79" t="s">
        <v>576</v>
      </c>
      <c r="L329" s="81" t="str">
        <f>"1/3"</f>
        <v>1/3</v>
      </c>
      <c r="M329" s="82"/>
      <c r="N329" s="355"/>
    </row>
    <row r="330" spans="1:14" ht="10.9" customHeight="1">
      <c r="A330" s="446" t="s">
        <v>353</v>
      </c>
      <c r="B330" s="448">
        <v>100</v>
      </c>
      <c r="C330" s="449"/>
      <c r="D330" s="450">
        <v>1</v>
      </c>
      <c r="E330" s="449"/>
      <c r="F330" s="450">
        <v>1</v>
      </c>
      <c r="G330" s="451"/>
      <c r="H330" s="452"/>
      <c r="I330" s="453"/>
      <c r="J330" s="454"/>
      <c r="K330" s="451" t="s">
        <v>577</v>
      </c>
      <c r="L330" s="452" t="str">
        <f t="shared" ref="L330:L335" si="1">"2/3"</f>
        <v>2/3</v>
      </c>
      <c r="M330" s="453" t="s">
        <v>555</v>
      </c>
      <c r="N330" s="455" t="str">
        <f>"1/3"</f>
        <v>1/3</v>
      </c>
    </row>
    <row r="331" spans="1:14" ht="10.9" customHeight="1">
      <c r="A331" s="444" t="s">
        <v>354</v>
      </c>
      <c r="B331" s="76">
        <v>150</v>
      </c>
      <c r="C331" s="77"/>
      <c r="D331" s="78">
        <v>1</v>
      </c>
      <c r="E331" s="77"/>
      <c r="F331" s="78">
        <v>1</v>
      </c>
      <c r="G331" s="79"/>
      <c r="H331" s="81"/>
      <c r="I331" s="82"/>
      <c r="J331" s="80"/>
      <c r="K331" s="79" t="s">
        <v>578</v>
      </c>
      <c r="L331" s="81" t="str">
        <f t="shared" si="1"/>
        <v>2/3</v>
      </c>
      <c r="M331" s="82"/>
      <c r="N331" s="355"/>
    </row>
    <row r="332" spans="1:14" ht="10.9" customHeight="1">
      <c r="A332" s="446" t="s">
        <v>355</v>
      </c>
      <c r="B332" s="448">
        <v>50</v>
      </c>
      <c r="C332" s="449"/>
      <c r="D332" s="450"/>
      <c r="E332" s="449">
        <v>4</v>
      </c>
      <c r="F332" s="450">
        <v>1</v>
      </c>
      <c r="G332" s="451"/>
      <c r="H332" s="452"/>
      <c r="I332" s="453"/>
      <c r="J332" s="454"/>
      <c r="K332" s="451" t="s">
        <v>579</v>
      </c>
      <c r="L332" s="452" t="str">
        <f t="shared" si="1"/>
        <v>2/3</v>
      </c>
      <c r="M332" s="453" t="s">
        <v>561</v>
      </c>
      <c r="N332" s="455" t="str">
        <f>"2/3"</f>
        <v>2/3</v>
      </c>
    </row>
    <row r="333" spans="1:14" ht="10.9" customHeight="1">
      <c r="A333" s="444" t="s">
        <v>356</v>
      </c>
      <c r="B333" s="76">
        <v>60</v>
      </c>
      <c r="C333" s="77"/>
      <c r="D333" s="78"/>
      <c r="E333" s="77"/>
      <c r="F333" s="78"/>
      <c r="G333" s="79"/>
      <c r="H333" s="81"/>
      <c r="I333" s="82"/>
      <c r="J333" s="80"/>
      <c r="K333" s="79" t="s">
        <v>575</v>
      </c>
      <c r="L333" s="81" t="str">
        <f t="shared" si="1"/>
        <v>2/3</v>
      </c>
      <c r="M333" s="82"/>
      <c r="N333" s="355"/>
    </row>
    <row r="334" spans="1:14" ht="10.9" customHeight="1">
      <c r="A334" s="446" t="s">
        <v>357</v>
      </c>
      <c r="B334" s="448" t="s">
        <v>534</v>
      </c>
      <c r="C334" s="449">
        <v>1</v>
      </c>
      <c r="D334" s="450"/>
      <c r="E334" s="449"/>
      <c r="F334" s="450"/>
      <c r="G334" s="451"/>
      <c r="H334" s="452"/>
      <c r="I334" s="453"/>
      <c r="J334" s="454"/>
      <c r="K334" s="451" t="s">
        <v>580</v>
      </c>
      <c r="L334" s="452" t="str">
        <f t="shared" si="1"/>
        <v>2/3</v>
      </c>
      <c r="M334" s="453" t="s">
        <v>581</v>
      </c>
      <c r="N334" s="455" t="str">
        <f>"1/3"</f>
        <v>1/3</v>
      </c>
    </row>
    <row r="335" spans="1:14" ht="10.9" customHeight="1">
      <c r="A335" s="445" t="s">
        <v>358</v>
      </c>
      <c r="B335" s="94">
        <v>120</v>
      </c>
      <c r="C335" s="95"/>
      <c r="D335" s="96">
        <v>1</v>
      </c>
      <c r="E335" s="95"/>
      <c r="F335" s="96">
        <v>1</v>
      </c>
      <c r="G335" s="97"/>
      <c r="H335" s="98"/>
      <c r="I335" s="99"/>
      <c r="J335" s="100"/>
      <c r="K335" s="97" t="s">
        <v>582</v>
      </c>
      <c r="L335" s="98" t="str">
        <f t="shared" si="1"/>
        <v>2/3</v>
      </c>
      <c r="M335" s="99"/>
      <c r="N335" s="361"/>
    </row>
    <row r="336" spans="1:14" ht="10.9" customHeight="1">
      <c r="A336" s="446" t="s">
        <v>583</v>
      </c>
      <c r="B336" s="448" t="s">
        <v>1275</v>
      </c>
      <c r="C336" s="449">
        <v>14</v>
      </c>
      <c r="D336" s="450"/>
      <c r="E336" s="449">
        <v>17</v>
      </c>
      <c r="F336" s="450"/>
      <c r="G336" s="451"/>
      <c r="H336" s="452"/>
      <c r="I336" s="453"/>
      <c r="J336" s="454"/>
      <c r="K336" s="451"/>
      <c r="L336" s="452"/>
      <c r="M336" s="453"/>
      <c r="N336" s="455"/>
    </row>
    <row r="337" spans="1:14" ht="10.9" customHeight="1">
      <c r="A337" s="444" t="s">
        <v>584</v>
      </c>
      <c r="B337" s="76" t="s">
        <v>534</v>
      </c>
      <c r="C337" s="77">
        <v>1</v>
      </c>
      <c r="D337" s="78"/>
      <c r="E337" s="77"/>
      <c r="F337" s="78"/>
      <c r="G337" s="79"/>
      <c r="H337" s="81"/>
      <c r="I337" s="82"/>
      <c r="J337" s="80"/>
      <c r="K337" s="79"/>
      <c r="L337" s="81"/>
      <c r="M337" s="82"/>
      <c r="N337" s="355"/>
    </row>
    <row r="338" spans="1:14" ht="10.9" customHeight="1">
      <c r="A338" s="446" t="s">
        <v>585</v>
      </c>
      <c r="B338" s="448">
        <v>120</v>
      </c>
      <c r="C338" s="449"/>
      <c r="D338" s="450"/>
      <c r="E338" s="449"/>
      <c r="F338" s="450"/>
      <c r="G338" s="451"/>
      <c r="H338" s="452"/>
      <c r="I338" s="453"/>
      <c r="J338" s="454"/>
      <c r="K338" s="451"/>
      <c r="L338" s="452"/>
      <c r="M338" s="453"/>
      <c r="N338" s="455"/>
    </row>
    <row r="339" spans="1:14" ht="10.9" customHeight="1">
      <c r="A339" s="444" t="s">
        <v>586</v>
      </c>
      <c r="B339" s="76" t="s">
        <v>1276</v>
      </c>
      <c r="C339" s="77">
        <v>15</v>
      </c>
      <c r="D339" s="78"/>
      <c r="E339" s="77">
        <v>18</v>
      </c>
      <c r="F339" s="78"/>
      <c r="G339" s="79"/>
      <c r="H339" s="81"/>
      <c r="I339" s="82"/>
      <c r="J339" s="80"/>
      <c r="K339" s="79"/>
      <c r="L339" s="81"/>
      <c r="M339" s="82"/>
      <c r="N339" s="355"/>
    </row>
    <row r="340" spans="1:14" ht="10.9" customHeight="1">
      <c r="A340" s="446" t="s">
        <v>587</v>
      </c>
      <c r="B340" s="448" t="s">
        <v>534</v>
      </c>
      <c r="C340" s="449">
        <v>1</v>
      </c>
      <c r="D340" s="450"/>
      <c r="E340" s="449"/>
      <c r="F340" s="450"/>
      <c r="G340" s="451"/>
      <c r="H340" s="452"/>
      <c r="I340" s="453"/>
      <c r="J340" s="454"/>
      <c r="K340" s="451"/>
      <c r="L340" s="452"/>
      <c r="M340" s="453"/>
      <c r="N340" s="455"/>
    </row>
    <row r="341" spans="1:14" ht="10.9" customHeight="1">
      <c r="A341" s="444" t="s">
        <v>1274</v>
      </c>
      <c r="B341" s="76" t="s">
        <v>534</v>
      </c>
      <c r="C341" s="77"/>
      <c r="D341" s="78"/>
      <c r="E341" s="77"/>
      <c r="F341" s="78"/>
      <c r="G341" s="79"/>
      <c r="H341" s="81"/>
      <c r="I341" s="82"/>
      <c r="J341" s="80"/>
      <c r="K341" s="79"/>
      <c r="L341" s="81"/>
      <c r="M341" s="82"/>
      <c r="N341" s="355"/>
    </row>
    <row r="342" spans="1:14" ht="10.9" customHeight="1">
      <c r="A342" s="446" t="s">
        <v>158</v>
      </c>
      <c r="B342" s="448">
        <v>40</v>
      </c>
      <c r="C342" s="449">
        <v>1</v>
      </c>
      <c r="D342" s="450"/>
      <c r="E342" s="449"/>
      <c r="F342" s="450"/>
      <c r="G342" s="451"/>
      <c r="H342" s="452"/>
      <c r="I342" s="453"/>
      <c r="J342" s="454"/>
      <c r="K342" s="451"/>
      <c r="L342" s="452"/>
      <c r="M342" s="453"/>
      <c r="N342" s="455"/>
    </row>
    <row r="343" spans="1:14" ht="10.9" customHeight="1">
      <c r="A343" s="444" t="s">
        <v>588</v>
      </c>
      <c r="B343" s="76">
        <v>50</v>
      </c>
      <c r="C343" s="77">
        <v>1</v>
      </c>
      <c r="D343" s="78"/>
      <c r="E343" s="77"/>
      <c r="F343" s="78"/>
      <c r="G343" s="79"/>
      <c r="H343" s="81"/>
      <c r="I343" s="82"/>
      <c r="J343" s="80"/>
      <c r="K343" s="79"/>
      <c r="L343" s="81"/>
      <c r="M343" s="82"/>
      <c r="N343" s="355"/>
    </row>
    <row r="344" spans="1:14" ht="10.9" customHeight="1">
      <c r="A344" s="446" t="s">
        <v>589</v>
      </c>
      <c r="B344" s="448" t="s">
        <v>1277</v>
      </c>
      <c r="C344" s="449">
        <v>10</v>
      </c>
      <c r="D344" s="450"/>
      <c r="E344" s="449"/>
      <c r="F344" s="450"/>
      <c r="G344" s="451"/>
      <c r="H344" s="452"/>
      <c r="I344" s="453"/>
      <c r="J344" s="454"/>
      <c r="K344" s="451"/>
      <c r="L344" s="452"/>
      <c r="M344" s="453"/>
      <c r="N344" s="455"/>
    </row>
    <row r="345" spans="1:14" ht="10.9" customHeight="1">
      <c r="A345" s="444" t="s">
        <v>590</v>
      </c>
      <c r="B345" s="76">
        <v>30</v>
      </c>
      <c r="C345" s="77">
        <v>1</v>
      </c>
      <c r="D345" s="78"/>
      <c r="E345" s="77"/>
      <c r="F345" s="78"/>
      <c r="G345" s="79"/>
      <c r="H345" s="81"/>
      <c r="I345" s="82"/>
      <c r="J345" s="80"/>
      <c r="K345" s="79"/>
      <c r="L345" s="81"/>
      <c r="M345" s="82"/>
      <c r="N345" s="355"/>
    </row>
    <row r="346" spans="1:14" ht="10.9" customHeight="1">
      <c r="A346" s="446" t="s">
        <v>591</v>
      </c>
      <c r="B346" s="448">
        <v>5</v>
      </c>
      <c r="C346" s="449"/>
      <c r="D346" s="450"/>
      <c r="E346" s="449"/>
      <c r="F346" s="450"/>
      <c r="G346" s="451"/>
      <c r="H346" s="452"/>
      <c r="I346" s="453"/>
      <c r="J346" s="454"/>
      <c r="K346" s="451"/>
      <c r="L346" s="452"/>
      <c r="M346" s="453"/>
      <c r="N346" s="455"/>
    </row>
    <row r="347" spans="1:14" ht="10.9" customHeight="1">
      <c r="A347" s="444" t="s">
        <v>592</v>
      </c>
      <c r="B347" s="76">
        <v>36</v>
      </c>
      <c r="C347" s="77">
        <v>1</v>
      </c>
      <c r="D347" s="78"/>
      <c r="E347" s="77"/>
      <c r="F347" s="78"/>
      <c r="G347" s="79"/>
      <c r="H347" s="81"/>
      <c r="I347" s="82"/>
      <c r="J347" s="80"/>
      <c r="K347" s="79"/>
      <c r="L347" s="81"/>
      <c r="M347" s="82"/>
      <c r="N347" s="355"/>
    </row>
    <row r="348" spans="1:14" ht="10.9" customHeight="1">
      <c r="A348" s="446" t="s">
        <v>593</v>
      </c>
      <c r="B348" s="448">
        <v>120</v>
      </c>
      <c r="C348" s="449"/>
      <c r="D348" s="450"/>
      <c r="E348" s="449">
        <v>3</v>
      </c>
      <c r="F348" s="450"/>
      <c r="G348" s="451"/>
      <c r="H348" s="452"/>
      <c r="I348" s="453"/>
      <c r="J348" s="454"/>
      <c r="K348" s="451"/>
      <c r="L348" s="452"/>
      <c r="M348" s="453"/>
      <c r="N348" s="455"/>
    </row>
    <row r="349" spans="1:14" ht="10.9" customHeight="1">
      <c r="A349" s="444" t="s">
        <v>594</v>
      </c>
      <c r="B349" s="76">
        <v>48</v>
      </c>
      <c r="C349" s="77"/>
      <c r="D349" s="78"/>
      <c r="E349" s="77"/>
      <c r="F349" s="78"/>
      <c r="G349" s="79"/>
      <c r="H349" s="81"/>
      <c r="I349" s="82"/>
      <c r="J349" s="80"/>
      <c r="K349" s="79"/>
      <c r="L349" s="81"/>
      <c r="M349" s="82"/>
      <c r="N349" s="355"/>
    </row>
    <row r="350" spans="1:14" ht="10.9" customHeight="1">
      <c r="A350" s="446" t="s">
        <v>595</v>
      </c>
      <c r="B350" s="448">
        <v>20</v>
      </c>
      <c r="C350" s="449">
        <v>1</v>
      </c>
      <c r="D350" s="450"/>
      <c r="E350" s="449"/>
      <c r="F350" s="450"/>
      <c r="G350" s="451"/>
      <c r="H350" s="452"/>
      <c r="I350" s="453"/>
      <c r="J350" s="454"/>
      <c r="K350" s="451"/>
      <c r="L350" s="452"/>
      <c r="M350" s="453"/>
      <c r="N350" s="455"/>
    </row>
    <row r="351" spans="1:14" ht="10.9" customHeight="1">
      <c r="A351" s="444" t="s">
        <v>596</v>
      </c>
      <c r="B351" s="76">
        <v>24</v>
      </c>
      <c r="C351" s="77"/>
      <c r="D351" s="78"/>
      <c r="E351" s="77"/>
      <c r="F351" s="78"/>
      <c r="G351" s="79"/>
      <c r="H351" s="81"/>
      <c r="I351" s="82"/>
      <c r="J351" s="80"/>
      <c r="K351" s="79"/>
      <c r="L351" s="81"/>
      <c r="M351" s="82"/>
      <c r="N351" s="355"/>
    </row>
    <row r="352" spans="1:14" ht="10.9" customHeight="1">
      <c r="A352" s="473" t="s">
        <v>597</v>
      </c>
      <c r="B352" s="474">
        <v>72</v>
      </c>
      <c r="C352" s="475"/>
      <c r="D352" s="476"/>
      <c r="E352" s="475"/>
      <c r="F352" s="476"/>
      <c r="G352" s="477"/>
      <c r="H352" s="478"/>
      <c r="I352" s="479"/>
      <c r="J352" s="480"/>
      <c r="K352" s="477"/>
      <c r="L352" s="478"/>
      <c r="M352" s="479"/>
      <c r="N352" s="481"/>
    </row>
    <row r="353" spans="1:14" ht="10.9" customHeight="1">
      <c r="A353" s="464" t="s">
        <v>75</v>
      </c>
      <c r="B353" s="465">
        <v>10</v>
      </c>
      <c r="C353" s="466">
        <v>1</v>
      </c>
      <c r="D353" s="467"/>
      <c r="E353" s="466"/>
      <c r="F353" s="467"/>
      <c r="G353" s="468"/>
      <c r="H353" s="469"/>
      <c r="I353" s="470"/>
      <c r="J353" s="471"/>
      <c r="K353" s="468"/>
      <c r="L353" s="469"/>
      <c r="M353" s="470"/>
      <c r="N353" s="472"/>
    </row>
    <row r="354" spans="1:14" ht="10.9" customHeight="1">
      <c r="A354" s="446" t="s">
        <v>74</v>
      </c>
      <c r="B354" s="448">
        <v>10</v>
      </c>
      <c r="C354" s="449">
        <v>1</v>
      </c>
      <c r="D354" s="450">
        <v>1</v>
      </c>
      <c r="E354" s="449"/>
      <c r="F354" s="450"/>
      <c r="G354" s="451"/>
      <c r="H354" s="452"/>
      <c r="I354" s="453"/>
      <c r="J354" s="454"/>
      <c r="K354" s="451"/>
      <c r="L354" s="452"/>
      <c r="M354" s="453"/>
      <c r="N354" s="455"/>
    </row>
    <row r="355" spans="1:14" ht="10.9" customHeight="1">
      <c r="A355" s="444" t="s">
        <v>15</v>
      </c>
      <c r="B355" s="76">
        <v>15</v>
      </c>
      <c r="C355" s="77">
        <v>1</v>
      </c>
      <c r="D355" s="78">
        <v>1</v>
      </c>
      <c r="E355" s="77"/>
      <c r="F355" s="78"/>
      <c r="G355" s="79"/>
      <c r="H355" s="81"/>
      <c r="I355" s="82"/>
      <c r="J355" s="80"/>
      <c r="K355" s="79"/>
      <c r="L355" s="81"/>
      <c r="M355" s="82"/>
      <c r="N355" s="355"/>
    </row>
    <row r="356" spans="1:14" ht="10.9" customHeight="1">
      <c r="A356" s="446" t="s">
        <v>72</v>
      </c>
      <c r="B356" s="448">
        <v>120</v>
      </c>
      <c r="C356" s="449"/>
      <c r="D356" s="450"/>
      <c r="E356" s="449">
        <v>5</v>
      </c>
      <c r="F356" s="450">
        <v>1</v>
      </c>
      <c r="G356" s="451"/>
      <c r="H356" s="452"/>
      <c r="I356" s="453"/>
      <c r="J356" s="454"/>
      <c r="K356" s="451"/>
      <c r="L356" s="452"/>
      <c r="M356" s="453"/>
      <c r="N356" s="455"/>
    </row>
    <row r="357" spans="1:14" ht="10.9" customHeight="1">
      <c r="A357" s="444" t="s">
        <v>79</v>
      </c>
      <c r="B357" s="76">
        <v>120</v>
      </c>
      <c r="C357" s="77"/>
      <c r="D357" s="78"/>
      <c r="E357" s="77">
        <v>3</v>
      </c>
      <c r="F357" s="78">
        <v>1</v>
      </c>
      <c r="G357" s="79"/>
      <c r="H357" s="81"/>
      <c r="I357" s="82"/>
      <c r="J357" s="80"/>
      <c r="K357" s="79"/>
      <c r="L357" s="81"/>
      <c r="M357" s="82"/>
      <c r="N357" s="355"/>
    </row>
    <row r="358" spans="1:14" ht="10.9" customHeight="1">
      <c r="A358" s="446" t="s">
        <v>78</v>
      </c>
      <c r="B358" s="448">
        <v>120</v>
      </c>
      <c r="C358" s="449"/>
      <c r="D358" s="450"/>
      <c r="E358" s="449">
        <v>4</v>
      </c>
      <c r="F358" s="450">
        <v>1</v>
      </c>
      <c r="G358" s="451"/>
      <c r="H358" s="452"/>
      <c r="I358" s="453"/>
      <c r="J358" s="454"/>
      <c r="K358" s="451"/>
      <c r="L358" s="452"/>
      <c r="M358" s="453"/>
      <c r="N358" s="455"/>
    </row>
    <row r="359" spans="1:14" ht="10.9" customHeight="1">
      <c r="A359" s="444" t="s">
        <v>16</v>
      </c>
      <c r="B359" s="76">
        <v>90</v>
      </c>
      <c r="C359" s="77">
        <v>1</v>
      </c>
      <c r="D359" s="78"/>
      <c r="E359" s="77">
        <v>17</v>
      </c>
      <c r="F359" s="78">
        <v>1</v>
      </c>
      <c r="G359" s="79"/>
      <c r="H359" s="81"/>
      <c r="I359" s="82"/>
      <c r="J359" s="80"/>
      <c r="K359" s="79"/>
      <c r="L359" s="81"/>
      <c r="M359" s="82"/>
      <c r="N359" s="355"/>
    </row>
    <row r="360" spans="1:14" ht="10.9" customHeight="1">
      <c r="A360" s="446" t="s">
        <v>18</v>
      </c>
      <c r="B360" s="448">
        <v>120</v>
      </c>
      <c r="C360" s="449"/>
      <c r="D360" s="450"/>
      <c r="E360" s="449">
        <v>6</v>
      </c>
      <c r="F360" s="450">
        <v>1</v>
      </c>
      <c r="G360" s="451"/>
      <c r="H360" s="452"/>
      <c r="I360" s="453"/>
      <c r="J360" s="454"/>
      <c r="K360" s="451"/>
      <c r="L360" s="452"/>
      <c r="M360" s="453"/>
      <c r="N360" s="455"/>
    </row>
    <row r="361" spans="1:14" ht="10.9" customHeight="1">
      <c r="A361" s="444" t="s">
        <v>84</v>
      </c>
      <c r="B361" s="76">
        <v>180</v>
      </c>
      <c r="C361" s="77"/>
      <c r="D361" s="78"/>
      <c r="E361" s="77">
        <v>18</v>
      </c>
      <c r="F361" s="78">
        <v>1</v>
      </c>
      <c r="G361" s="79"/>
      <c r="H361" s="81"/>
      <c r="I361" s="82"/>
      <c r="J361" s="80"/>
      <c r="K361" s="79"/>
      <c r="L361" s="81"/>
      <c r="M361" s="82"/>
      <c r="N361" s="355"/>
    </row>
    <row r="362" spans="1:14" ht="10.9" customHeight="1">
      <c r="A362" s="446" t="s">
        <v>19</v>
      </c>
      <c r="B362" s="448">
        <v>180</v>
      </c>
      <c r="C362" s="449"/>
      <c r="D362" s="450"/>
      <c r="E362" s="449">
        <v>3</v>
      </c>
      <c r="F362" s="450">
        <v>1</v>
      </c>
      <c r="G362" s="451"/>
      <c r="H362" s="452"/>
      <c r="I362" s="453"/>
      <c r="J362" s="454"/>
      <c r="K362" s="451"/>
      <c r="L362" s="452"/>
      <c r="M362" s="453"/>
      <c r="N362" s="455"/>
    </row>
    <row r="363" spans="1:14" ht="10.9" customHeight="1">
      <c r="A363" s="444" t="s">
        <v>85</v>
      </c>
      <c r="B363" s="76">
        <v>180</v>
      </c>
      <c r="C363" s="77"/>
      <c r="D363" s="78"/>
      <c r="E363" s="77">
        <v>2</v>
      </c>
      <c r="F363" s="78">
        <v>1</v>
      </c>
      <c r="G363" s="79"/>
      <c r="H363" s="81"/>
      <c r="I363" s="82"/>
      <c r="J363" s="80"/>
      <c r="K363" s="79"/>
      <c r="L363" s="81"/>
      <c r="M363" s="82"/>
      <c r="N363" s="355"/>
    </row>
    <row r="364" spans="1:14" ht="10.9" customHeight="1">
      <c r="A364" s="446" t="s">
        <v>90</v>
      </c>
      <c r="B364" s="448">
        <v>255</v>
      </c>
      <c r="C364" s="449"/>
      <c r="D364" s="450"/>
      <c r="E364" s="449">
        <v>1</v>
      </c>
      <c r="F364" s="450"/>
      <c r="G364" s="451"/>
      <c r="H364" s="452"/>
      <c r="I364" s="453"/>
      <c r="J364" s="454"/>
      <c r="K364" s="451"/>
      <c r="L364" s="452"/>
      <c r="M364" s="453"/>
      <c r="N364" s="455"/>
    </row>
    <row r="365" spans="1:14" ht="10.9" customHeight="1">
      <c r="A365" s="444" t="s">
        <v>88</v>
      </c>
      <c r="B365" s="76">
        <v>150</v>
      </c>
      <c r="C365" s="77">
        <v>1</v>
      </c>
      <c r="D365" s="78">
        <v>1</v>
      </c>
      <c r="E365" s="77"/>
      <c r="F365" s="78">
        <v>1</v>
      </c>
      <c r="G365" s="79"/>
      <c r="H365" s="81"/>
      <c r="I365" s="82"/>
      <c r="J365" s="80"/>
      <c r="K365" s="79"/>
      <c r="L365" s="81"/>
      <c r="M365" s="82"/>
      <c r="N365" s="355"/>
    </row>
    <row r="366" spans="1:14" ht="10.9" customHeight="1">
      <c r="A366" s="446" t="s">
        <v>1278</v>
      </c>
      <c r="B366" s="448">
        <v>150</v>
      </c>
      <c r="C366" s="449">
        <v>1</v>
      </c>
      <c r="D366" s="450"/>
      <c r="E366" s="449"/>
      <c r="F366" s="450">
        <v>1</v>
      </c>
      <c r="G366" s="451"/>
      <c r="H366" s="452"/>
      <c r="I366" s="453"/>
      <c r="J366" s="454"/>
      <c r="K366" s="451"/>
      <c r="L366" s="452"/>
      <c r="M366" s="453"/>
      <c r="N366" s="455"/>
    </row>
    <row r="367" spans="1:14" ht="10.9" customHeight="1">
      <c r="A367" s="444" t="s">
        <v>89</v>
      </c>
      <c r="B367" s="76">
        <v>100</v>
      </c>
      <c r="C367" s="77">
        <v>1</v>
      </c>
      <c r="D367" s="78"/>
      <c r="E367" s="77"/>
      <c r="F367" s="78">
        <v>1</v>
      </c>
      <c r="G367" s="79"/>
      <c r="H367" s="81"/>
      <c r="I367" s="82"/>
      <c r="J367" s="80"/>
      <c r="K367" s="79"/>
      <c r="L367" s="81"/>
      <c r="M367" s="82"/>
      <c r="N367" s="355"/>
    </row>
    <row r="368" spans="1:14" ht="10.9" customHeight="1" thickBot="1">
      <c r="A368" s="447" t="s">
        <v>21</v>
      </c>
      <c r="B368" s="456" t="s">
        <v>534</v>
      </c>
      <c r="C368" s="457">
        <v>1</v>
      </c>
      <c r="D368" s="458"/>
      <c r="E368" s="457"/>
      <c r="F368" s="458"/>
      <c r="G368" s="459"/>
      <c r="H368" s="460"/>
      <c r="I368" s="461"/>
      <c r="J368" s="462"/>
      <c r="K368" s="459"/>
      <c r="L368" s="460"/>
      <c r="M368" s="461"/>
      <c r="N368" s="463"/>
    </row>
    <row r="369" spans="1:14" ht="7.15" customHeight="1" thickBo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</row>
    <row r="370" spans="1:14" ht="14.45" customHeight="1">
      <c r="A370" s="285" t="s">
        <v>24</v>
      </c>
      <c r="B370" s="350" t="s">
        <v>509</v>
      </c>
      <c r="C370" s="232" t="s">
        <v>510</v>
      </c>
      <c r="D370" s="351" t="s">
        <v>511</v>
      </c>
      <c r="E370" s="350" t="s">
        <v>503</v>
      </c>
      <c r="F370" s="352" t="s">
        <v>598</v>
      </c>
      <c r="G370" s="228" t="s">
        <v>599</v>
      </c>
      <c r="H370" s="285" t="s">
        <v>30</v>
      </c>
      <c r="I370" s="302" t="s">
        <v>4</v>
      </c>
      <c r="J370" s="302" t="s">
        <v>5</v>
      </c>
      <c r="K370" s="302" t="s">
        <v>6</v>
      </c>
      <c r="L370" s="303" t="s">
        <v>498</v>
      </c>
      <c r="M370" s="301" t="s">
        <v>8</v>
      </c>
      <c r="N370" s="286" t="s">
        <v>9</v>
      </c>
    </row>
    <row r="371" spans="1:14" ht="10.9" customHeight="1">
      <c r="A371" s="287" t="s">
        <v>25</v>
      </c>
      <c r="B371" s="76"/>
      <c r="C371" s="77"/>
      <c r="D371" s="78"/>
      <c r="E371" s="76"/>
      <c r="F371" s="111"/>
      <c r="G371" s="366"/>
      <c r="H371" s="291" t="s">
        <v>90</v>
      </c>
      <c r="I371" s="312"/>
      <c r="J371" s="312"/>
      <c r="K371" s="312">
        <v>1</v>
      </c>
      <c r="L371" s="33">
        <v>1</v>
      </c>
      <c r="M371" s="32"/>
      <c r="N371" s="378"/>
    </row>
    <row r="372" spans="1:14" ht="10.9" customHeight="1">
      <c r="A372" s="289" t="s">
        <v>91</v>
      </c>
      <c r="B372" s="26"/>
      <c r="C372" s="24"/>
      <c r="D372" s="25"/>
      <c r="E372" s="26"/>
      <c r="F372" s="27"/>
      <c r="G372" s="367"/>
      <c r="H372" s="292" t="s">
        <v>89</v>
      </c>
      <c r="I372" s="314"/>
      <c r="J372" s="314"/>
      <c r="K372" s="314"/>
      <c r="L372" s="41"/>
      <c r="M372" s="40"/>
      <c r="N372" s="379">
        <v>40</v>
      </c>
    </row>
    <row r="373" spans="1:14" ht="10.9" customHeight="1">
      <c r="A373" s="287" t="s">
        <v>98</v>
      </c>
      <c r="B373" s="76"/>
      <c r="C373" s="77"/>
      <c r="D373" s="78"/>
      <c r="E373" s="76"/>
      <c r="F373" s="111"/>
      <c r="G373" s="366"/>
      <c r="H373" s="291" t="s">
        <v>18</v>
      </c>
      <c r="I373" s="312">
        <v>2</v>
      </c>
      <c r="J373" s="312"/>
      <c r="K373" s="312"/>
      <c r="L373" s="33"/>
      <c r="M373" s="32"/>
      <c r="N373" s="378"/>
    </row>
    <row r="374" spans="1:14" ht="10.9" customHeight="1">
      <c r="A374" s="289" t="s">
        <v>105</v>
      </c>
      <c r="B374" s="26"/>
      <c r="C374" s="24"/>
      <c r="D374" s="25"/>
      <c r="E374" s="26"/>
      <c r="F374" s="27"/>
      <c r="G374" s="367"/>
      <c r="H374" s="292" t="s">
        <v>17</v>
      </c>
      <c r="I374" s="314"/>
      <c r="J374" s="314"/>
      <c r="K374" s="314"/>
      <c r="L374" s="41">
        <v>1</v>
      </c>
      <c r="M374" s="40"/>
      <c r="N374" s="379">
        <v>25</v>
      </c>
    </row>
    <row r="375" spans="1:14" ht="10.9" customHeight="1">
      <c r="A375" s="287" t="s">
        <v>112</v>
      </c>
      <c r="B375" s="67">
        <f>VLOOKUP(G375,A246:N368,2,0)</f>
        <v>54</v>
      </c>
      <c r="C375" s="68">
        <f>VLOOKUP(G375,A246:N368,3,0)</f>
        <v>0</v>
      </c>
      <c r="D375" s="69">
        <f>VLOOKUP(G375,A246:N368,4,0)</f>
        <v>0</v>
      </c>
      <c r="E375" s="67">
        <f>VLOOKUP(G375,A246:N368,5,0)</f>
        <v>3</v>
      </c>
      <c r="F375" s="109">
        <v>2</v>
      </c>
      <c r="G375" s="368" t="s">
        <v>281</v>
      </c>
      <c r="H375" s="291" t="s">
        <v>85</v>
      </c>
      <c r="I375" s="312"/>
      <c r="J375" s="312"/>
      <c r="K375" s="312"/>
      <c r="L375" s="33"/>
      <c r="M375" s="32">
        <v>60</v>
      </c>
      <c r="N375" s="378"/>
    </row>
    <row r="376" spans="1:14" ht="10.9" customHeight="1">
      <c r="A376" s="289" t="s">
        <v>118</v>
      </c>
      <c r="B376" s="26">
        <f>VLOOKUP(G376,A246:N368,2,0)</f>
        <v>60</v>
      </c>
      <c r="C376" s="24">
        <f>VLOOKUP(G376,A246:N368,3,0)</f>
        <v>0</v>
      </c>
      <c r="D376" s="25">
        <f>VLOOKUP(G376,A246:N368,4,0)</f>
        <v>0</v>
      </c>
      <c r="E376" s="26">
        <f>VLOOKUP(G376,A246:N368,5,0)</f>
        <v>4</v>
      </c>
      <c r="F376" s="27">
        <v>2</v>
      </c>
      <c r="G376" s="367" t="s">
        <v>282</v>
      </c>
      <c r="H376" s="292" t="s">
        <v>81</v>
      </c>
      <c r="I376" s="314"/>
      <c r="J376" s="314"/>
      <c r="K376" s="314">
        <v>2</v>
      </c>
      <c r="L376" s="41"/>
      <c r="M376" s="40"/>
      <c r="N376" s="379"/>
    </row>
    <row r="377" spans="1:14" ht="10.9" customHeight="1">
      <c r="A377" s="287" t="s">
        <v>124</v>
      </c>
      <c r="B377" s="76">
        <f>VLOOKUP(G377,A246:N368,2,0)</f>
        <v>66</v>
      </c>
      <c r="C377" s="77">
        <f>VLOOKUP(G377,A246:N368,3,0)</f>
        <v>0</v>
      </c>
      <c r="D377" s="78">
        <f>VLOOKUP(G377,A246:N368,4,0)</f>
        <v>0</v>
      </c>
      <c r="E377" s="76">
        <f>VLOOKUP(G377,A246:N368,5,0)</f>
        <v>5</v>
      </c>
      <c r="F377" s="111">
        <v>2</v>
      </c>
      <c r="G377" s="366" t="s">
        <v>285</v>
      </c>
      <c r="H377" s="291" t="s">
        <v>80</v>
      </c>
      <c r="I377" s="312">
        <v>1</v>
      </c>
      <c r="J377" s="312"/>
      <c r="K377" s="312"/>
      <c r="L377" s="33"/>
      <c r="M377" s="32">
        <v>20</v>
      </c>
      <c r="N377" s="378"/>
    </row>
    <row r="378" spans="1:14" ht="10.9" customHeight="1">
      <c r="A378" s="289" t="s">
        <v>130</v>
      </c>
      <c r="B378" s="26">
        <f>VLOOKUP(G378,A246:N368,2,0)</f>
        <v>100</v>
      </c>
      <c r="C378" s="24">
        <f>VLOOKUP(G378,A246:N368,3,0)</f>
        <v>0</v>
      </c>
      <c r="D378" s="25">
        <f>VLOOKUP(G378,A246:N368,4,0)</f>
        <v>0</v>
      </c>
      <c r="E378" s="26">
        <f>VLOOKUP(G378,A246:N368,5,0)</f>
        <v>0</v>
      </c>
      <c r="F378" s="27">
        <v>2</v>
      </c>
      <c r="G378" s="367" t="s">
        <v>289</v>
      </c>
      <c r="H378" s="292" t="s">
        <v>79</v>
      </c>
      <c r="I378" s="314"/>
      <c r="J378" s="314"/>
      <c r="K378" s="314">
        <v>2</v>
      </c>
      <c r="L378" s="41"/>
      <c r="M378" s="40"/>
      <c r="N378" s="379"/>
    </row>
    <row r="379" spans="1:14" ht="10.9" customHeight="1">
      <c r="A379" s="287" t="s">
        <v>136</v>
      </c>
      <c r="B379" s="94">
        <f>VLOOKUP(G379,A246:N368,2,0)</f>
        <v>5</v>
      </c>
      <c r="C379" s="95">
        <f>VLOOKUP(G379,A246:N368,3,0)</f>
        <v>0</v>
      </c>
      <c r="D379" s="96">
        <f>VLOOKUP(G379,A246:N368,4,0)</f>
        <v>0</v>
      </c>
      <c r="E379" s="94">
        <f>VLOOKUP(G379,A246:N368,5,0)</f>
        <v>0</v>
      </c>
      <c r="F379" s="110">
        <v>2</v>
      </c>
      <c r="G379" s="369" t="s">
        <v>301</v>
      </c>
      <c r="H379" s="291" t="s">
        <v>75</v>
      </c>
      <c r="I379" s="312"/>
      <c r="J379" s="312"/>
      <c r="K379" s="312"/>
      <c r="L379" s="33">
        <v>1</v>
      </c>
      <c r="M379" s="32">
        <v>30</v>
      </c>
      <c r="N379" s="378"/>
    </row>
    <row r="380" spans="1:14" ht="10.9" customHeight="1">
      <c r="A380" s="289" t="s">
        <v>138</v>
      </c>
      <c r="B380" s="26"/>
      <c r="C380" s="24"/>
      <c r="D380" s="25"/>
      <c r="E380" s="26"/>
      <c r="F380" s="27"/>
      <c r="G380" s="370"/>
      <c r="H380" s="292" t="s">
        <v>16</v>
      </c>
      <c r="I380" s="314"/>
      <c r="J380" s="314">
        <v>1</v>
      </c>
      <c r="K380" s="314"/>
      <c r="L380" s="41">
        <v>1</v>
      </c>
      <c r="M380" s="40"/>
      <c r="N380" s="379"/>
    </row>
    <row r="381" spans="1:14" ht="10.9" customHeight="1">
      <c r="A381" s="287" t="s">
        <v>140</v>
      </c>
      <c r="B381" s="76"/>
      <c r="C381" s="77"/>
      <c r="D381" s="78"/>
      <c r="E381" s="76"/>
      <c r="F381" s="111"/>
      <c r="G381" s="371"/>
      <c r="H381" s="291" t="s">
        <v>88</v>
      </c>
      <c r="I381" s="312"/>
      <c r="J381" s="312"/>
      <c r="K381" s="312"/>
      <c r="L381" s="33">
        <v>2</v>
      </c>
      <c r="M381" s="32"/>
      <c r="N381" s="378"/>
    </row>
    <row r="382" spans="1:14" ht="10.9" customHeight="1">
      <c r="A382" s="289" t="s">
        <v>142</v>
      </c>
      <c r="B382" s="26"/>
      <c r="C382" s="24"/>
      <c r="D382" s="25"/>
      <c r="E382" s="26"/>
      <c r="F382" s="27"/>
      <c r="G382" s="370"/>
      <c r="H382" s="292" t="s">
        <v>87</v>
      </c>
      <c r="I382" s="314">
        <v>1</v>
      </c>
      <c r="J382" s="314"/>
      <c r="K382" s="314">
        <v>1</v>
      </c>
      <c r="L382" s="41"/>
      <c r="M382" s="40"/>
      <c r="N382" s="379"/>
    </row>
    <row r="383" spans="1:14" ht="10.9" customHeight="1">
      <c r="A383" s="287" t="s">
        <v>145</v>
      </c>
      <c r="B383" s="76"/>
      <c r="C383" s="77"/>
      <c r="D383" s="78"/>
      <c r="E383" s="76"/>
      <c r="F383" s="111"/>
      <c r="G383" s="371"/>
      <c r="H383" s="291" t="s">
        <v>76</v>
      </c>
      <c r="I383" s="312">
        <v>1</v>
      </c>
      <c r="J383" s="312"/>
      <c r="K383" s="312"/>
      <c r="L383" s="33">
        <v>1</v>
      </c>
      <c r="M383" s="32"/>
      <c r="N383" s="378"/>
    </row>
    <row r="384" spans="1:14" ht="10.9" customHeight="1">
      <c r="A384" s="289" t="s">
        <v>148</v>
      </c>
      <c r="B384" s="26"/>
      <c r="C384" s="24"/>
      <c r="D384" s="25"/>
      <c r="E384" s="26"/>
      <c r="F384" s="27"/>
      <c r="G384" s="370"/>
      <c r="H384" s="292" t="s">
        <v>20</v>
      </c>
      <c r="I384" s="314"/>
      <c r="J384" s="314"/>
      <c r="K384" s="314"/>
      <c r="L384" s="41"/>
      <c r="M384" s="40">
        <v>30</v>
      </c>
      <c r="N384" s="379">
        <v>15</v>
      </c>
    </row>
    <row r="385" spans="1:14" ht="10.9" customHeight="1">
      <c r="A385" s="287" t="s">
        <v>151</v>
      </c>
      <c r="B385" s="67">
        <f>VLOOKUP(G385,A246:N368,2,0)</f>
        <v>60</v>
      </c>
      <c r="C385" s="68">
        <f>VLOOKUP(G385,A246:N368,3,0)</f>
        <v>1</v>
      </c>
      <c r="D385" s="69">
        <f>VLOOKUP(G385,A246:N368,4,0)</f>
        <v>0</v>
      </c>
      <c r="E385" s="67">
        <f>VLOOKUP(G385,A246:N368,5,0)</f>
        <v>0</v>
      </c>
      <c r="F385" s="109">
        <v>2</v>
      </c>
      <c r="G385" s="372" t="s">
        <v>294</v>
      </c>
      <c r="H385" s="291" t="s">
        <v>21</v>
      </c>
      <c r="I385" s="312"/>
      <c r="J385" s="312"/>
      <c r="K385" s="312"/>
      <c r="L385" s="33"/>
      <c r="M385" s="32"/>
      <c r="N385" s="378">
        <v>40</v>
      </c>
    </row>
    <row r="386" spans="1:14" ht="10.9" customHeight="1">
      <c r="A386" s="289" t="s">
        <v>152</v>
      </c>
      <c r="B386" s="31">
        <f>VLOOKUP(G386,A246:N368,2,0)</f>
        <v>48</v>
      </c>
      <c r="C386" s="28">
        <f>VLOOKUP(G386,A246:N368,3,0)</f>
        <v>1</v>
      </c>
      <c r="D386" s="30">
        <f>VLOOKUP(G386,A246:N368,4,0)</f>
        <v>0</v>
      </c>
      <c r="E386" s="31">
        <f>VLOOKUP(G386,A246:N368,5,0)</f>
        <v>1</v>
      </c>
      <c r="F386" s="29">
        <v>2</v>
      </c>
      <c r="G386" s="373" t="s">
        <v>303</v>
      </c>
      <c r="H386" s="292" t="s">
        <v>72</v>
      </c>
      <c r="I386" s="314">
        <v>2</v>
      </c>
      <c r="J386" s="314"/>
      <c r="K386" s="314"/>
      <c r="L386" s="41"/>
      <c r="M386" s="40"/>
      <c r="N386" s="379"/>
    </row>
    <row r="387" spans="1:14" ht="10.9" customHeight="1">
      <c r="A387" s="287" t="s">
        <v>101</v>
      </c>
      <c r="B387" s="76"/>
      <c r="C387" s="77"/>
      <c r="D387" s="78"/>
      <c r="E387" s="76"/>
      <c r="F387" s="111"/>
      <c r="G387" s="371"/>
      <c r="H387" s="291" t="s">
        <v>82</v>
      </c>
      <c r="I387" s="312"/>
      <c r="J387" s="312"/>
      <c r="K387" s="312"/>
      <c r="L387" s="33"/>
      <c r="M387" s="32">
        <v>30</v>
      </c>
      <c r="N387" s="378">
        <v>15</v>
      </c>
    </row>
    <row r="388" spans="1:14" ht="10.9" customHeight="1">
      <c r="A388" s="289" t="s">
        <v>108</v>
      </c>
      <c r="B388" s="26"/>
      <c r="C388" s="24"/>
      <c r="D388" s="25"/>
      <c r="E388" s="26"/>
      <c r="F388" s="27"/>
      <c r="G388" s="370"/>
      <c r="H388" s="292" t="s">
        <v>78</v>
      </c>
      <c r="I388" s="314"/>
      <c r="J388" s="314">
        <v>2</v>
      </c>
      <c r="K388" s="314"/>
      <c r="L388" s="41"/>
      <c r="M388" s="40"/>
      <c r="N388" s="379"/>
    </row>
    <row r="389" spans="1:14" ht="10.9" customHeight="1">
      <c r="A389" s="287" t="s">
        <v>115</v>
      </c>
      <c r="B389" s="76"/>
      <c r="C389" s="77"/>
      <c r="D389" s="78"/>
      <c r="E389" s="76"/>
      <c r="F389" s="111"/>
      <c r="G389" s="371"/>
      <c r="H389" s="291" t="s">
        <v>77</v>
      </c>
      <c r="I389" s="312"/>
      <c r="J389" s="312">
        <v>2</v>
      </c>
      <c r="K389" s="312"/>
      <c r="L389" s="33"/>
      <c r="M389" s="32"/>
      <c r="N389" s="378"/>
    </row>
    <row r="390" spans="1:14" ht="10.9" customHeight="1">
      <c r="A390" s="289" t="s">
        <v>121</v>
      </c>
      <c r="B390" s="26"/>
      <c r="C390" s="24"/>
      <c r="D390" s="25"/>
      <c r="E390" s="26"/>
      <c r="F390" s="27"/>
      <c r="G390" s="370"/>
      <c r="H390" s="292" t="s">
        <v>73</v>
      </c>
      <c r="I390" s="314"/>
      <c r="J390" s="314">
        <v>1</v>
      </c>
      <c r="K390" s="314">
        <v>1</v>
      </c>
      <c r="L390" s="41"/>
      <c r="M390" s="40"/>
      <c r="N390" s="379"/>
    </row>
    <row r="391" spans="1:14" ht="10.9" customHeight="1">
      <c r="A391" s="287" t="s">
        <v>127</v>
      </c>
      <c r="B391" s="76"/>
      <c r="C391" s="77"/>
      <c r="D391" s="78"/>
      <c r="E391" s="76"/>
      <c r="F391" s="111"/>
      <c r="G391" s="371"/>
      <c r="H391" s="291" t="s">
        <v>86</v>
      </c>
      <c r="I391" s="312"/>
      <c r="J391" s="312"/>
      <c r="K391" s="312"/>
      <c r="L391" s="33">
        <v>2</v>
      </c>
      <c r="M391" s="32"/>
      <c r="N391" s="378"/>
    </row>
    <row r="392" spans="1:14" ht="10.9" customHeight="1">
      <c r="A392" s="289" t="s">
        <v>133</v>
      </c>
      <c r="B392" s="26"/>
      <c r="C392" s="24"/>
      <c r="D392" s="25"/>
      <c r="E392" s="26"/>
      <c r="F392" s="27"/>
      <c r="G392" s="370"/>
      <c r="H392" s="292" t="s">
        <v>74</v>
      </c>
      <c r="I392" s="314"/>
      <c r="J392" s="314"/>
      <c r="K392" s="314"/>
      <c r="L392" s="41">
        <v>2</v>
      </c>
      <c r="M392" s="40"/>
      <c r="N392" s="379"/>
    </row>
    <row r="393" spans="1:14" ht="10.9" customHeight="1">
      <c r="A393" s="287" t="s">
        <v>164</v>
      </c>
      <c r="B393" s="76"/>
      <c r="C393" s="77"/>
      <c r="D393" s="78"/>
      <c r="E393" s="76"/>
      <c r="F393" s="111"/>
      <c r="G393" s="371"/>
      <c r="H393" s="291" t="s">
        <v>84</v>
      </c>
      <c r="I393" s="312"/>
      <c r="J393" s="312"/>
      <c r="K393" s="312"/>
      <c r="L393" s="33"/>
      <c r="M393" s="32">
        <v>60</v>
      </c>
      <c r="N393" s="378"/>
    </row>
    <row r="394" spans="1:14" ht="10.9" customHeight="1">
      <c r="A394" s="289" t="s">
        <v>92</v>
      </c>
      <c r="B394" s="26"/>
      <c r="C394" s="24"/>
      <c r="D394" s="25"/>
      <c r="E394" s="26"/>
      <c r="F394" s="27"/>
      <c r="G394" s="370"/>
      <c r="H394" s="292" t="s">
        <v>19</v>
      </c>
      <c r="I394" s="314"/>
      <c r="J394" s="314"/>
      <c r="K394" s="314"/>
      <c r="L394" s="41">
        <v>2</v>
      </c>
      <c r="M394" s="40"/>
      <c r="N394" s="379"/>
    </row>
    <row r="395" spans="1:14" ht="10.9" customHeight="1">
      <c r="A395" s="287" t="s">
        <v>96</v>
      </c>
      <c r="B395" s="76"/>
      <c r="C395" s="77"/>
      <c r="D395" s="78"/>
      <c r="E395" s="76"/>
      <c r="F395" s="111"/>
      <c r="G395" s="371"/>
      <c r="H395" s="291" t="s">
        <v>15</v>
      </c>
      <c r="I395" s="312"/>
      <c r="J395" s="312"/>
      <c r="K395" s="312"/>
      <c r="L395" s="33">
        <v>1</v>
      </c>
      <c r="M395" s="32">
        <v>30</v>
      </c>
      <c r="N395" s="378"/>
    </row>
    <row r="396" spans="1:14" ht="10.9" customHeight="1" thickBot="1">
      <c r="A396" s="289" t="s">
        <v>103</v>
      </c>
      <c r="B396" s="26"/>
      <c r="C396" s="24"/>
      <c r="D396" s="25"/>
      <c r="E396" s="26"/>
      <c r="F396" s="27"/>
      <c r="G396" s="370"/>
      <c r="H396" s="299" t="s">
        <v>83</v>
      </c>
      <c r="I396" s="336"/>
      <c r="J396" s="336">
        <v>1</v>
      </c>
      <c r="K396" s="336"/>
      <c r="L396" s="337"/>
      <c r="M396" s="335"/>
      <c r="N396" s="380">
        <v>20</v>
      </c>
    </row>
    <row r="397" spans="1:14" ht="10.9" customHeight="1">
      <c r="A397" s="287" t="s">
        <v>110</v>
      </c>
      <c r="B397" s="76"/>
      <c r="C397" s="77"/>
      <c r="D397" s="78"/>
      <c r="E397" s="76"/>
      <c r="F397" s="111"/>
      <c r="G397" s="371"/>
      <c r="H397" s="381" t="s">
        <v>600</v>
      </c>
      <c r="I397" s="382" t="s">
        <v>8</v>
      </c>
      <c r="J397" s="383" t="s">
        <v>9</v>
      </c>
    </row>
    <row r="398" spans="1:14" ht="10.9" customHeight="1">
      <c r="A398" s="289" t="s">
        <v>116</v>
      </c>
      <c r="B398" s="26"/>
      <c r="C398" s="24"/>
      <c r="D398" s="25"/>
      <c r="E398" s="26"/>
      <c r="F398" s="27"/>
      <c r="G398" s="370"/>
      <c r="H398" s="384">
        <v>1</v>
      </c>
      <c r="I398" s="112">
        <v>0</v>
      </c>
      <c r="J398" s="385">
        <v>0</v>
      </c>
    </row>
    <row r="399" spans="1:14" ht="10.9" customHeight="1">
      <c r="A399" s="287" t="s">
        <v>122</v>
      </c>
      <c r="B399" s="76"/>
      <c r="C399" s="77"/>
      <c r="D399" s="78"/>
      <c r="E399" s="76"/>
      <c r="F399" s="111"/>
      <c r="G399" s="371"/>
      <c r="H399" s="386">
        <v>2</v>
      </c>
      <c r="I399" s="113">
        <v>12</v>
      </c>
      <c r="J399" s="387">
        <v>1</v>
      </c>
    </row>
    <row r="400" spans="1:14" ht="10.9" customHeight="1">
      <c r="A400" s="289" t="s">
        <v>128</v>
      </c>
      <c r="B400" s="26"/>
      <c r="C400" s="24"/>
      <c r="D400" s="25"/>
      <c r="E400" s="26"/>
      <c r="F400" s="27"/>
      <c r="G400" s="370"/>
      <c r="H400" s="384">
        <v>3</v>
      </c>
      <c r="I400" s="112">
        <v>24</v>
      </c>
      <c r="J400" s="385">
        <v>2</v>
      </c>
    </row>
    <row r="401" spans="1:10" ht="10.9" customHeight="1">
      <c r="A401" s="287" t="s">
        <v>134</v>
      </c>
      <c r="B401" s="76"/>
      <c r="C401" s="77"/>
      <c r="D401" s="78"/>
      <c r="E401" s="76"/>
      <c r="F401" s="111"/>
      <c r="G401" s="371"/>
      <c r="H401" s="386">
        <v>4</v>
      </c>
      <c r="I401" s="113">
        <v>38</v>
      </c>
      <c r="J401" s="387">
        <v>3</v>
      </c>
    </row>
    <row r="402" spans="1:10" ht="10.9" customHeight="1">
      <c r="A402" s="289" t="s">
        <v>93</v>
      </c>
      <c r="B402" s="26"/>
      <c r="C402" s="24"/>
      <c r="D402" s="25"/>
      <c r="E402" s="26"/>
      <c r="F402" s="27"/>
      <c r="G402" s="370"/>
      <c r="H402" s="384">
        <v>5</v>
      </c>
      <c r="I402" s="112">
        <v>52</v>
      </c>
      <c r="J402" s="385">
        <v>4</v>
      </c>
    </row>
    <row r="403" spans="1:10" ht="10.9" customHeight="1">
      <c r="A403" s="287" t="s">
        <v>99</v>
      </c>
      <c r="B403" s="76"/>
      <c r="C403" s="77"/>
      <c r="D403" s="78"/>
      <c r="E403" s="76"/>
      <c r="F403" s="111"/>
      <c r="G403" s="371"/>
      <c r="H403" s="386">
        <v>6</v>
      </c>
      <c r="I403" s="113">
        <v>68</v>
      </c>
      <c r="J403" s="387">
        <v>5</v>
      </c>
    </row>
    <row r="404" spans="1:10" ht="10.9" customHeight="1">
      <c r="A404" s="289" t="s">
        <v>106</v>
      </c>
      <c r="B404" s="87">
        <f>VLOOKUP(G404,A246:N368,2,0)</f>
        <v>30</v>
      </c>
      <c r="C404" s="88">
        <f>VLOOKUP(G404,A246:N368,3,0)</f>
        <v>0</v>
      </c>
      <c r="D404" s="89">
        <f>VLOOKUP(G404,A246:N368,4,0)</f>
        <v>0</v>
      </c>
      <c r="E404" s="87">
        <f>VLOOKUP(G404,A246:N368,5,0)</f>
        <v>2</v>
      </c>
      <c r="F404" s="114">
        <v>2</v>
      </c>
      <c r="G404" s="374" t="s">
        <v>280</v>
      </c>
      <c r="H404" s="384">
        <v>7</v>
      </c>
      <c r="I404" s="112">
        <v>84</v>
      </c>
      <c r="J404" s="385">
        <v>6</v>
      </c>
    </row>
    <row r="405" spans="1:10" ht="10.9" customHeight="1">
      <c r="A405" s="287" t="s">
        <v>113</v>
      </c>
      <c r="B405" s="76">
        <f>VLOOKUP(G405,A246:N368,2,0)</f>
        <v>100</v>
      </c>
      <c r="C405" s="77">
        <f>VLOOKUP(G405,A246:N368,3,0)</f>
        <v>0</v>
      </c>
      <c r="D405" s="78">
        <f>VLOOKUP(G405,A246:N368,4,0)</f>
        <v>0</v>
      </c>
      <c r="E405" s="76">
        <f>VLOOKUP(G405,A246:N368,5,0)</f>
        <v>0</v>
      </c>
      <c r="F405" s="111">
        <v>2</v>
      </c>
      <c r="G405" s="371" t="s">
        <v>289</v>
      </c>
      <c r="H405" s="386">
        <v>8</v>
      </c>
      <c r="I405" s="113">
        <v>102</v>
      </c>
      <c r="J405" s="387">
        <v>7</v>
      </c>
    </row>
    <row r="406" spans="1:10" ht="10.9" customHeight="1">
      <c r="A406" s="289" t="s">
        <v>119</v>
      </c>
      <c r="B406" s="26">
        <f>VLOOKUP(G406,A246:N368,2,0)</f>
        <v>27</v>
      </c>
      <c r="C406" s="24">
        <f>VLOOKUP(G405,A246:N368,3,0)</f>
        <v>0</v>
      </c>
      <c r="D406" s="25">
        <f>VLOOKUP(G406,A246:N368,4,0)</f>
        <v>0</v>
      </c>
      <c r="E406" s="26">
        <f>VLOOKUP(G406,A246:N368,5,0)</f>
        <v>3</v>
      </c>
      <c r="F406" s="27">
        <v>2</v>
      </c>
      <c r="G406" s="370" t="s">
        <v>275</v>
      </c>
      <c r="H406" s="384">
        <v>9</v>
      </c>
      <c r="I406" s="112">
        <v>120</v>
      </c>
      <c r="J406" s="385">
        <v>8</v>
      </c>
    </row>
    <row r="407" spans="1:10" ht="10.9" customHeight="1">
      <c r="A407" s="287" t="s">
        <v>125</v>
      </c>
      <c r="B407" s="76">
        <f>VLOOKUP(G407,A246:N368,2,0)</f>
        <v>30</v>
      </c>
      <c r="C407" s="77">
        <f>VLOOKUP(G405,A246:N368,3,0)</f>
        <v>0</v>
      </c>
      <c r="D407" s="78">
        <f>VLOOKUP(G407,A246:N368,4,0)</f>
        <v>0</v>
      </c>
      <c r="E407" s="115">
        <f>VLOOKUP(G407,A246:N368,5,0)</f>
        <v>4</v>
      </c>
      <c r="F407" s="111">
        <v>2</v>
      </c>
      <c r="G407" s="371" t="s">
        <v>276</v>
      </c>
      <c r="H407" s="386">
        <v>10</v>
      </c>
      <c r="I407" s="113">
        <v>140</v>
      </c>
      <c r="J407" s="387">
        <v>9</v>
      </c>
    </row>
    <row r="408" spans="1:10" ht="10.9" customHeight="1">
      <c r="A408" s="289" t="s">
        <v>131</v>
      </c>
      <c r="B408" s="31">
        <f>VLOOKUP(G408,A246:N368,2,0)</f>
        <v>33</v>
      </c>
      <c r="C408" s="28">
        <f>VLOOKUP(G405,A246:N368,3,0)</f>
        <v>0</v>
      </c>
      <c r="D408" s="30">
        <f>VLOOKUP(G408,A246:N368,4,0)</f>
        <v>0</v>
      </c>
      <c r="E408" s="31">
        <f>VLOOKUP(G408,A246:N368,5,0)</f>
        <v>5</v>
      </c>
      <c r="F408" s="29">
        <v>2</v>
      </c>
      <c r="G408" s="373" t="s">
        <v>295</v>
      </c>
      <c r="H408" s="384">
        <v>11</v>
      </c>
      <c r="I408" s="112">
        <v>162</v>
      </c>
      <c r="J408" s="385">
        <v>18</v>
      </c>
    </row>
    <row r="409" spans="1:10" ht="10.9" customHeight="1">
      <c r="A409" s="287" t="s">
        <v>94</v>
      </c>
      <c r="B409" s="76"/>
      <c r="C409" s="77"/>
      <c r="D409" s="78"/>
      <c r="E409" s="76"/>
      <c r="F409" s="111"/>
      <c r="G409" s="371"/>
      <c r="H409" s="386">
        <v>12</v>
      </c>
      <c r="I409" s="113">
        <v>186</v>
      </c>
      <c r="J409" s="387">
        <v>27</v>
      </c>
    </row>
    <row r="410" spans="1:10" ht="10.9" customHeight="1">
      <c r="A410" s="289" t="s">
        <v>100</v>
      </c>
      <c r="B410" s="26"/>
      <c r="C410" s="24"/>
      <c r="D410" s="25"/>
      <c r="E410" s="26"/>
      <c r="F410" s="27"/>
      <c r="G410" s="370"/>
      <c r="H410" s="384">
        <v>13</v>
      </c>
      <c r="I410" s="112">
        <v>212</v>
      </c>
      <c r="J410" s="385">
        <v>36</v>
      </c>
    </row>
    <row r="411" spans="1:10" ht="10.9" customHeight="1">
      <c r="A411" s="287" t="s">
        <v>107</v>
      </c>
      <c r="B411" s="76"/>
      <c r="C411" s="77"/>
      <c r="D411" s="78"/>
      <c r="E411" s="76"/>
      <c r="F411" s="111"/>
      <c r="G411" s="371"/>
      <c r="H411" s="386">
        <v>14</v>
      </c>
      <c r="I411" s="113">
        <v>240</v>
      </c>
      <c r="J411" s="387">
        <v>45</v>
      </c>
    </row>
    <row r="412" spans="1:10" ht="10.9" customHeight="1">
      <c r="A412" s="289" t="s">
        <v>114</v>
      </c>
      <c r="B412" s="26"/>
      <c r="C412" s="24"/>
      <c r="D412" s="25"/>
      <c r="E412" s="26"/>
      <c r="F412" s="27"/>
      <c r="G412" s="370"/>
      <c r="H412" s="384">
        <v>15</v>
      </c>
      <c r="I412" s="112">
        <v>270</v>
      </c>
      <c r="J412" s="385">
        <v>54</v>
      </c>
    </row>
    <row r="413" spans="1:10" ht="10.9" customHeight="1">
      <c r="A413" s="287" t="s">
        <v>120</v>
      </c>
      <c r="B413" s="76"/>
      <c r="C413" s="77"/>
      <c r="D413" s="78"/>
      <c r="E413" s="76"/>
      <c r="F413" s="111"/>
      <c r="G413" s="371"/>
      <c r="H413" s="386">
        <v>16</v>
      </c>
      <c r="I413" s="113">
        <v>302</v>
      </c>
      <c r="J413" s="387">
        <v>63</v>
      </c>
    </row>
    <row r="414" spans="1:10" ht="10.9" customHeight="1">
      <c r="A414" s="289" t="s">
        <v>126</v>
      </c>
      <c r="B414" s="26"/>
      <c r="C414" s="24"/>
      <c r="D414" s="25"/>
      <c r="E414" s="26"/>
      <c r="F414" s="27"/>
      <c r="G414" s="370"/>
      <c r="H414" s="384">
        <v>17</v>
      </c>
      <c r="I414" s="112">
        <v>336</v>
      </c>
      <c r="J414" s="385">
        <v>72</v>
      </c>
    </row>
    <row r="415" spans="1:10" ht="10.9" customHeight="1">
      <c r="A415" s="287" t="s">
        <v>132</v>
      </c>
      <c r="B415" s="76"/>
      <c r="C415" s="77"/>
      <c r="D415" s="78"/>
      <c r="E415" s="76"/>
      <c r="F415" s="111"/>
      <c r="G415" s="371"/>
      <c r="H415" s="386">
        <v>18</v>
      </c>
      <c r="I415" s="113">
        <v>372</v>
      </c>
      <c r="J415" s="387">
        <v>81</v>
      </c>
    </row>
    <row r="416" spans="1:10" ht="10.9" customHeight="1">
      <c r="A416" s="289" t="s">
        <v>156</v>
      </c>
      <c r="B416" s="26"/>
      <c r="C416" s="24"/>
      <c r="D416" s="25"/>
      <c r="E416" s="116"/>
      <c r="F416" s="27"/>
      <c r="G416" s="370"/>
      <c r="H416" s="384">
        <v>19</v>
      </c>
      <c r="I416" s="112">
        <v>410</v>
      </c>
      <c r="J416" s="385">
        <v>90</v>
      </c>
    </row>
    <row r="417" spans="1:10" ht="10.9" customHeight="1">
      <c r="A417" s="287" t="s">
        <v>158</v>
      </c>
      <c r="B417" s="76"/>
      <c r="C417" s="77"/>
      <c r="D417" s="78"/>
      <c r="E417" s="76"/>
      <c r="F417" s="111"/>
      <c r="G417" s="371"/>
      <c r="H417" s="386">
        <v>20</v>
      </c>
      <c r="I417" s="113">
        <v>450</v>
      </c>
      <c r="J417" s="387">
        <v>99</v>
      </c>
    </row>
    <row r="418" spans="1:10" ht="10.9" customHeight="1">
      <c r="A418" s="289" t="s">
        <v>160</v>
      </c>
      <c r="B418" s="117">
        <f>VLOOKUP(G418,A246:N368,2,0)</f>
        <v>40</v>
      </c>
      <c r="C418" s="118">
        <f>VLOOKUP(G418,A246:N368,3,0)</f>
        <v>1</v>
      </c>
      <c r="D418" s="119">
        <f>VLOOKUP(G418,A246:N368,4,0)</f>
        <v>0</v>
      </c>
      <c r="E418" s="117">
        <f>VLOOKUP(G418,A246:N368,5,0)</f>
        <v>17</v>
      </c>
      <c r="F418" s="120">
        <v>2</v>
      </c>
      <c r="G418" s="375" t="s">
        <v>292</v>
      </c>
      <c r="H418" s="386">
        <v>21</v>
      </c>
      <c r="I418" s="113">
        <v>492</v>
      </c>
      <c r="J418" s="387">
        <v>108</v>
      </c>
    </row>
    <row r="419" spans="1:10" ht="10.9" customHeight="1">
      <c r="A419" s="287" t="s">
        <v>161</v>
      </c>
      <c r="B419" s="76"/>
      <c r="C419" s="77"/>
      <c r="D419" s="78"/>
      <c r="E419" s="76"/>
      <c r="F419" s="111"/>
      <c r="G419" s="371"/>
      <c r="H419" s="384">
        <v>22</v>
      </c>
      <c r="I419" s="112">
        <v>536</v>
      </c>
      <c r="J419" s="385">
        <v>117</v>
      </c>
    </row>
    <row r="420" spans="1:10" ht="10.9" customHeight="1">
      <c r="A420" s="289" t="s">
        <v>163</v>
      </c>
      <c r="B420" s="26"/>
      <c r="C420" s="24"/>
      <c r="D420" s="25"/>
      <c r="E420" s="116"/>
      <c r="F420" s="27"/>
      <c r="G420" s="370"/>
      <c r="H420" s="386">
        <v>23</v>
      </c>
      <c r="I420" s="113">
        <v>582</v>
      </c>
      <c r="J420" s="387">
        <v>126</v>
      </c>
    </row>
    <row r="421" spans="1:10" ht="10.9" customHeight="1">
      <c r="A421" s="287" t="s">
        <v>165</v>
      </c>
      <c r="B421" s="76"/>
      <c r="C421" s="77"/>
      <c r="D421" s="78"/>
      <c r="E421" s="76"/>
      <c r="F421" s="111"/>
      <c r="G421" s="371"/>
      <c r="H421" s="384">
        <v>24</v>
      </c>
      <c r="I421" s="112">
        <v>630</v>
      </c>
      <c r="J421" s="385">
        <v>135</v>
      </c>
    </row>
    <row r="422" spans="1:10" ht="10.9" customHeight="1">
      <c r="A422" s="289" t="s">
        <v>166</v>
      </c>
      <c r="B422" s="26"/>
      <c r="C422" s="24"/>
      <c r="D422" s="25"/>
      <c r="E422" s="26"/>
      <c r="F422" s="27"/>
      <c r="G422" s="370"/>
      <c r="H422" s="384">
        <v>25</v>
      </c>
      <c r="I422" s="112">
        <v>680</v>
      </c>
      <c r="J422" s="385">
        <v>144</v>
      </c>
    </row>
    <row r="423" spans="1:10" ht="10.9" customHeight="1">
      <c r="A423" s="287" t="s">
        <v>139</v>
      </c>
      <c r="B423" s="76"/>
      <c r="C423" s="77"/>
      <c r="D423" s="78"/>
      <c r="E423" s="76"/>
      <c r="F423" s="111"/>
      <c r="G423" s="371"/>
      <c r="H423" s="386">
        <v>26</v>
      </c>
      <c r="I423" s="113">
        <v>732</v>
      </c>
      <c r="J423" s="387">
        <v>153</v>
      </c>
    </row>
    <row r="424" spans="1:10" ht="10.9" customHeight="1">
      <c r="A424" s="289" t="s">
        <v>141</v>
      </c>
      <c r="B424" s="26"/>
      <c r="C424" s="24"/>
      <c r="D424" s="25"/>
      <c r="E424" s="26"/>
      <c r="F424" s="27"/>
      <c r="G424" s="370"/>
      <c r="H424" s="384">
        <v>27</v>
      </c>
      <c r="I424" s="112">
        <v>786</v>
      </c>
      <c r="J424" s="385">
        <v>162</v>
      </c>
    </row>
    <row r="425" spans="1:10" ht="10.9" customHeight="1">
      <c r="A425" s="287" t="s">
        <v>143</v>
      </c>
      <c r="B425" s="76"/>
      <c r="C425" s="77"/>
      <c r="D425" s="78"/>
      <c r="E425" s="76"/>
      <c r="F425" s="111"/>
      <c r="G425" s="371"/>
      <c r="H425" s="386">
        <v>28</v>
      </c>
      <c r="I425" s="113">
        <v>842</v>
      </c>
      <c r="J425" s="387">
        <v>171</v>
      </c>
    </row>
    <row r="426" spans="1:10" ht="10.9" customHeight="1">
      <c r="A426" s="289" t="s">
        <v>146</v>
      </c>
      <c r="B426" s="26"/>
      <c r="C426" s="24"/>
      <c r="D426" s="25"/>
      <c r="E426" s="26"/>
      <c r="F426" s="27"/>
      <c r="G426" s="370"/>
      <c r="H426" s="384">
        <v>29</v>
      </c>
      <c r="I426" s="112">
        <v>900</v>
      </c>
      <c r="J426" s="385">
        <v>180</v>
      </c>
    </row>
    <row r="427" spans="1:10" ht="10.9" customHeight="1">
      <c r="A427" s="287" t="s">
        <v>149</v>
      </c>
      <c r="B427" s="76"/>
      <c r="C427" s="77"/>
      <c r="D427" s="78"/>
      <c r="E427" s="76"/>
      <c r="F427" s="111"/>
      <c r="G427" s="371"/>
      <c r="H427" s="386">
        <v>30</v>
      </c>
      <c r="I427" s="113">
        <v>960</v>
      </c>
      <c r="J427" s="387">
        <v>181</v>
      </c>
    </row>
    <row r="428" spans="1:10" ht="10.9" customHeight="1">
      <c r="A428" s="289" t="s">
        <v>97</v>
      </c>
      <c r="B428" s="26"/>
      <c r="C428" s="24"/>
      <c r="D428" s="25"/>
      <c r="E428" s="26"/>
      <c r="F428" s="27"/>
      <c r="G428" s="370"/>
      <c r="H428" s="384">
        <v>31</v>
      </c>
      <c r="I428" s="121">
        <v>1020</v>
      </c>
      <c r="J428" s="385">
        <v>182</v>
      </c>
    </row>
    <row r="429" spans="1:10" ht="10.9" customHeight="1">
      <c r="A429" s="287" t="s">
        <v>104</v>
      </c>
      <c r="B429" s="67">
        <f>VLOOKUP(G429,A246:N368,2,0)</f>
        <v>54</v>
      </c>
      <c r="C429" s="68">
        <f>VLOOKUP(G429,A246:N368,3,0)</f>
        <v>0</v>
      </c>
      <c r="D429" s="69">
        <f>VLOOKUP(G429,A246:N368,4,0)</f>
        <v>0</v>
      </c>
      <c r="E429" s="67">
        <f>VLOOKUP(G429,A246:N368,5,0)</f>
        <v>3</v>
      </c>
      <c r="F429" s="109">
        <v>3</v>
      </c>
      <c r="G429" s="372" t="s">
        <v>281</v>
      </c>
      <c r="H429" s="386">
        <v>32</v>
      </c>
      <c r="I429" s="113">
        <v>1080</v>
      </c>
      <c r="J429" s="387">
        <v>183</v>
      </c>
    </row>
    <row r="430" spans="1:10" ht="10.9" customHeight="1">
      <c r="A430" s="289" t="s">
        <v>111</v>
      </c>
      <c r="B430" s="26">
        <f>VLOOKUP(G430,A246:N368,2,0)</f>
        <v>60</v>
      </c>
      <c r="C430" s="24">
        <f>VLOOKUP(G430,A246:N368,3,0)</f>
        <v>0</v>
      </c>
      <c r="D430" s="25">
        <f>VLOOKUP(G430,A246:N368,4,0)</f>
        <v>0</v>
      </c>
      <c r="E430" s="26">
        <f>VLOOKUP(G430,A246:N368,5,0)</f>
        <v>4</v>
      </c>
      <c r="F430" s="27">
        <v>3</v>
      </c>
      <c r="G430" s="370" t="s">
        <v>282</v>
      </c>
      <c r="H430" s="384">
        <v>33</v>
      </c>
      <c r="I430" s="121">
        <v>1140</v>
      </c>
      <c r="J430" s="385">
        <v>184</v>
      </c>
    </row>
    <row r="431" spans="1:10" ht="10.9" customHeight="1">
      <c r="A431" s="287" t="s">
        <v>117</v>
      </c>
      <c r="B431" s="76">
        <f>VLOOKUP(G431,A246:N368,2,0)</f>
        <v>66</v>
      </c>
      <c r="C431" s="77">
        <f>VLOOKUP(G431,A246:N368,3,0)</f>
        <v>0</v>
      </c>
      <c r="D431" s="78">
        <f>VLOOKUP(G431,A246:N368,4,0)</f>
        <v>0</v>
      </c>
      <c r="E431" s="76">
        <f>VLOOKUP(G431,A246:N368,5,0)</f>
        <v>5</v>
      </c>
      <c r="F431" s="111">
        <v>3</v>
      </c>
      <c r="G431" s="371" t="s">
        <v>285</v>
      </c>
      <c r="H431" s="386">
        <v>34</v>
      </c>
      <c r="I431" s="113">
        <v>1200</v>
      </c>
      <c r="J431" s="387">
        <v>185</v>
      </c>
    </row>
    <row r="432" spans="1:10" ht="10.9" customHeight="1">
      <c r="A432" s="289" t="s">
        <v>123</v>
      </c>
      <c r="B432" s="26"/>
      <c r="C432" s="24"/>
      <c r="D432" s="25"/>
      <c r="E432" s="26">
        <f>VLOOKUP(G432,A246:N368,5,0)</f>
        <v>18</v>
      </c>
      <c r="F432" s="27">
        <v>2</v>
      </c>
      <c r="G432" s="370" t="s">
        <v>297</v>
      </c>
      <c r="H432" s="384">
        <v>35</v>
      </c>
      <c r="I432" s="121">
        <v>1260</v>
      </c>
      <c r="J432" s="385">
        <v>186</v>
      </c>
    </row>
    <row r="433" spans="1:10" ht="10.9" customHeight="1">
      <c r="A433" s="287" t="s">
        <v>129</v>
      </c>
      <c r="B433" s="76"/>
      <c r="C433" s="77"/>
      <c r="D433" s="78"/>
      <c r="E433" s="76"/>
      <c r="F433" s="111"/>
      <c r="G433" s="371"/>
      <c r="H433" s="386">
        <v>36</v>
      </c>
      <c r="I433" s="113">
        <v>1320</v>
      </c>
      <c r="J433" s="387">
        <v>187</v>
      </c>
    </row>
    <row r="434" spans="1:10" ht="10.9" customHeight="1">
      <c r="A434" s="289" t="s">
        <v>135</v>
      </c>
      <c r="B434" s="31">
        <f>VLOOKUP(G434,A246:N368,2,0)</f>
        <v>90</v>
      </c>
      <c r="C434" s="28">
        <f>VLOOKUP(G434,A246:N368,3,0)</f>
        <v>0</v>
      </c>
      <c r="D434" s="30">
        <f>VLOOKUP(G434,A246:N368,4,0)</f>
        <v>0</v>
      </c>
      <c r="E434" s="31">
        <f>VLOOKUP(G434,A246:N368,5,0)</f>
        <v>2</v>
      </c>
      <c r="F434" s="29">
        <v>3</v>
      </c>
      <c r="G434" s="373" t="s">
        <v>293</v>
      </c>
      <c r="H434" s="384">
        <v>37</v>
      </c>
      <c r="I434" s="121">
        <v>1380</v>
      </c>
      <c r="J434" s="385">
        <v>188</v>
      </c>
    </row>
    <row r="435" spans="1:10" ht="10.9" customHeight="1">
      <c r="A435" s="287" t="s">
        <v>137</v>
      </c>
      <c r="B435" s="76"/>
      <c r="C435" s="77"/>
      <c r="D435" s="78"/>
      <c r="E435" s="76"/>
      <c r="F435" s="111"/>
      <c r="G435" s="371"/>
      <c r="H435" s="386">
        <v>38</v>
      </c>
      <c r="I435" s="113">
        <v>1440</v>
      </c>
      <c r="J435" s="387">
        <v>189</v>
      </c>
    </row>
    <row r="436" spans="1:10" ht="10.9" customHeight="1">
      <c r="A436" s="289" t="s">
        <v>144</v>
      </c>
      <c r="B436" s="26"/>
      <c r="C436" s="24"/>
      <c r="D436" s="25"/>
      <c r="E436" s="26"/>
      <c r="F436" s="27"/>
      <c r="G436" s="370"/>
      <c r="H436" s="384">
        <v>39</v>
      </c>
      <c r="I436" s="121">
        <v>1500</v>
      </c>
      <c r="J436" s="385">
        <v>190</v>
      </c>
    </row>
    <row r="437" spans="1:10" ht="10.9" customHeight="1">
      <c r="A437" s="287" t="s">
        <v>147</v>
      </c>
      <c r="B437" s="76"/>
      <c r="C437" s="77"/>
      <c r="D437" s="78"/>
      <c r="E437" s="76"/>
      <c r="F437" s="111"/>
      <c r="G437" s="371"/>
      <c r="H437" s="386">
        <v>40</v>
      </c>
      <c r="I437" s="113">
        <v>1550</v>
      </c>
      <c r="J437" s="387">
        <v>191</v>
      </c>
    </row>
    <row r="438" spans="1:10" ht="10.9" customHeight="1">
      <c r="A438" s="289" t="s">
        <v>150</v>
      </c>
      <c r="B438" s="26"/>
      <c r="C438" s="24"/>
      <c r="D438" s="25"/>
      <c r="E438" s="26"/>
      <c r="F438" s="27"/>
      <c r="G438" s="370"/>
      <c r="H438" s="384">
        <v>41</v>
      </c>
      <c r="I438" s="121">
        <v>1600</v>
      </c>
      <c r="J438" s="385">
        <v>192</v>
      </c>
    </row>
    <row r="439" spans="1:10" ht="10.9" customHeight="1">
      <c r="A439" s="287" t="s">
        <v>153</v>
      </c>
      <c r="B439" s="76"/>
      <c r="C439" s="77"/>
      <c r="D439" s="78"/>
      <c r="E439" s="76"/>
      <c r="F439" s="111"/>
      <c r="G439" s="371"/>
      <c r="H439" s="386">
        <v>42</v>
      </c>
      <c r="I439" s="113">
        <v>1650</v>
      </c>
      <c r="J439" s="387">
        <v>193</v>
      </c>
    </row>
    <row r="440" spans="1:10" ht="10.9" customHeight="1">
      <c r="A440" s="289" t="s">
        <v>162</v>
      </c>
      <c r="B440" s="26"/>
      <c r="C440" s="24"/>
      <c r="D440" s="25"/>
      <c r="E440" s="26"/>
      <c r="F440" s="27"/>
      <c r="G440" s="370"/>
      <c r="H440" s="384">
        <v>43</v>
      </c>
      <c r="I440" s="121">
        <v>1700</v>
      </c>
      <c r="J440" s="385">
        <v>194</v>
      </c>
    </row>
    <row r="441" spans="1:10" ht="10.9" customHeight="1">
      <c r="A441" s="287" t="s">
        <v>154</v>
      </c>
      <c r="B441" s="76"/>
      <c r="C441" s="77"/>
      <c r="D441" s="78"/>
      <c r="E441" s="76"/>
      <c r="F441" s="111"/>
      <c r="G441" s="371"/>
      <c r="H441" s="386">
        <v>44</v>
      </c>
      <c r="I441" s="113">
        <v>1750</v>
      </c>
      <c r="J441" s="387">
        <v>195</v>
      </c>
    </row>
    <row r="442" spans="1:10" ht="10.9" customHeight="1">
      <c r="A442" s="289" t="s">
        <v>155</v>
      </c>
      <c r="B442" s="26"/>
      <c r="C442" s="24"/>
      <c r="D442" s="25"/>
      <c r="E442" s="26"/>
      <c r="F442" s="27"/>
      <c r="G442" s="370"/>
      <c r="H442" s="384">
        <v>45</v>
      </c>
      <c r="I442" s="121">
        <v>1800</v>
      </c>
      <c r="J442" s="385">
        <v>196</v>
      </c>
    </row>
    <row r="443" spans="1:10" ht="10.9" customHeight="1">
      <c r="A443" s="287" t="s">
        <v>157</v>
      </c>
      <c r="B443" s="76"/>
      <c r="C443" s="77"/>
      <c r="D443" s="78"/>
      <c r="E443" s="76"/>
      <c r="F443" s="111"/>
      <c r="G443" s="371"/>
      <c r="H443" s="386">
        <v>46</v>
      </c>
      <c r="I443" s="113">
        <v>1850</v>
      </c>
      <c r="J443" s="387">
        <v>197</v>
      </c>
    </row>
    <row r="444" spans="1:10" ht="10.9" customHeight="1">
      <c r="A444" s="289" t="s">
        <v>159</v>
      </c>
      <c r="B444" s="26"/>
      <c r="C444" s="24"/>
      <c r="D444" s="25"/>
      <c r="E444" s="26"/>
      <c r="F444" s="27"/>
      <c r="G444" s="370"/>
      <c r="H444" s="384">
        <v>47</v>
      </c>
      <c r="I444" s="121">
        <v>1900</v>
      </c>
      <c r="J444" s="385">
        <v>198</v>
      </c>
    </row>
    <row r="445" spans="1:10" ht="10.9" customHeight="1">
      <c r="A445" s="287" t="s">
        <v>95</v>
      </c>
      <c r="B445" s="76"/>
      <c r="C445" s="77"/>
      <c r="D445" s="78"/>
      <c r="E445" s="76"/>
      <c r="F445" s="111"/>
      <c r="G445" s="371"/>
      <c r="H445" s="386">
        <v>48</v>
      </c>
      <c r="I445" s="113">
        <v>1950</v>
      </c>
      <c r="J445" s="387">
        <v>199</v>
      </c>
    </row>
    <row r="446" spans="1:10" ht="10.9" customHeight="1">
      <c r="A446" s="289" t="s">
        <v>109</v>
      </c>
      <c r="B446" s="26"/>
      <c r="C446" s="24"/>
      <c r="D446" s="25"/>
      <c r="E446" s="26"/>
      <c r="F446" s="27"/>
      <c r="G446" s="370"/>
      <c r="H446" s="384">
        <v>49</v>
      </c>
      <c r="I446" s="121">
        <v>2000</v>
      </c>
      <c r="J446" s="385">
        <v>200</v>
      </c>
    </row>
    <row r="447" spans="1:10" ht="10.9" customHeight="1" thickBot="1">
      <c r="A447" s="315" t="s">
        <v>102</v>
      </c>
      <c r="B447" s="363"/>
      <c r="C447" s="364"/>
      <c r="D447" s="365"/>
      <c r="E447" s="363"/>
      <c r="F447" s="376"/>
      <c r="G447" s="377"/>
      <c r="H447" s="388">
        <v>50</v>
      </c>
      <c r="I447" s="389">
        <v>2000</v>
      </c>
      <c r="J447" s="390">
        <v>200</v>
      </c>
    </row>
    <row r="451" spans="1:7" ht="10.9" customHeight="1">
      <c r="C451" s="2"/>
      <c r="D451" s="2"/>
    </row>
    <row r="452" spans="1:7" ht="10.9" customHeight="1">
      <c r="C452" s="2"/>
      <c r="D452" s="2"/>
    </row>
    <row r="453" spans="1:7" ht="10.9" customHeight="1">
      <c r="C453" s="2"/>
      <c r="D453" s="2"/>
    </row>
    <row r="454" spans="1:7" ht="10.9" customHeight="1">
      <c r="A454" s="2"/>
      <c r="B454" s="2"/>
      <c r="C454" s="2"/>
      <c r="D454" s="2"/>
      <c r="E454" s="2"/>
      <c r="F454" s="2"/>
      <c r="G454" s="2"/>
    </row>
    <row r="455" spans="1:7" ht="10.9" customHeight="1">
      <c r="A455" s="2"/>
      <c r="B455" s="2"/>
      <c r="C455" s="2"/>
      <c r="D455" s="2"/>
      <c r="E455" s="2"/>
      <c r="F455" s="2"/>
      <c r="G455" s="2"/>
    </row>
    <row r="456" spans="1:7" ht="10.9" customHeight="1">
      <c r="A456" s="2"/>
      <c r="B456" s="2"/>
      <c r="C456" s="2"/>
      <c r="D456" s="2"/>
      <c r="E456" s="2"/>
      <c r="F456" s="2"/>
      <c r="G456" s="2"/>
    </row>
    <row r="457" spans="1:7" ht="10.9" customHeight="1">
      <c r="A457" s="2"/>
      <c r="B457" s="2"/>
      <c r="C457" s="2"/>
      <c r="D457" s="2"/>
      <c r="E457" s="2"/>
      <c r="F457" s="2"/>
      <c r="G457" s="2"/>
    </row>
    <row r="458" spans="1:7" ht="10.9" customHeight="1">
      <c r="A458" s="2"/>
      <c r="B458" s="2"/>
      <c r="C458" s="2"/>
      <c r="D458" s="2"/>
      <c r="E458" s="2"/>
      <c r="F458" s="2"/>
      <c r="G458" s="2"/>
    </row>
    <row r="459" spans="1:7" ht="10.9" customHeight="1">
      <c r="A459" s="2"/>
      <c r="B459" s="2"/>
      <c r="C459" s="2"/>
      <c r="D459" s="2"/>
      <c r="E459" s="2"/>
      <c r="F459" s="2"/>
      <c r="G459" s="2"/>
    </row>
    <row r="460" spans="1:7" ht="10.9" customHeight="1">
      <c r="A460" s="2"/>
      <c r="B460" s="2"/>
      <c r="C460" s="2"/>
      <c r="D460" s="2"/>
      <c r="E460" s="2"/>
      <c r="F460" s="2"/>
      <c r="G460" s="2"/>
    </row>
    <row r="461" spans="1:7" ht="10.9" customHeight="1">
      <c r="A461" s="2"/>
      <c r="B461" s="2"/>
      <c r="C461" s="2"/>
      <c r="D461" s="2"/>
      <c r="E461" s="2"/>
      <c r="F461" s="2"/>
      <c r="G461" s="2"/>
    </row>
    <row r="462" spans="1:7" ht="10.9" customHeight="1">
      <c r="A462" s="2"/>
      <c r="B462" s="2"/>
      <c r="C462" s="2"/>
      <c r="D462" s="2"/>
      <c r="E462" s="2"/>
      <c r="F462" s="2"/>
      <c r="G462" s="2"/>
    </row>
    <row r="463" spans="1:7" ht="10.9" customHeight="1">
      <c r="A463" s="2"/>
      <c r="B463" s="2"/>
      <c r="C463" s="2"/>
      <c r="D463" s="2"/>
      <c r="E463" s="2"/>
      <c r="F463" s="2"/>
      <c r="G463" s="2"/>
    </row>
    <row r="464" spans="1:7" ht="10.9" customHeight="1">
      <c r="A464" s="2"/>
      <c r="B464" s="2"/>
      <c r="C464" s="2"/>
      <c r="D464" s="2"/>
      <c r="E464" s="2"/>
      <c r="F464" s="2"/>
      <c r="G464" s="2"/>
    </row>
    <row r="465" spans="1:7" ht="10.9" customHeight="1">
      <c r="A465" s="2"/>
      <c r="B465" s="2"/>
      <c r="C465" s="2"/>
      <c r="D465" s="2"/>
      <c r="E465" s="2"/>
      <c r="F465" s="2"/>
      <c r="G465" s="2"/>
    </row>
    <row r="466" spans="1:7" ht="10.9" customHeight="1">
      <c r="A466" s="2"/>
      <c r="B466" s="2"/>
      <c r="C466" s="2"/>
      <c r="D466" s="2"/>
      <c r="E466" s="2"/>
      <c r="F466" s="2"/>
      <c r="G466" s="2"/>
    </row>
    <row r="467" spans="1:7" ht="10.9" customHeight="1">
      <c r="A467" s="2"/>
      <c r="B467" s="2"/>
      <c r="C467" s="2"/>
      <c r="D467" s="2"/>
      <c r="E467" s="2"/>
      <c r="F467" s="2"/>
      <c r="G467" s="2"/>
    </row>
    <row r="468" spans="1:7" ht="10.9" customHeight="1">
      <c r="A468" s="2"/>
      <c r="B468" s="2"/>
      <c r="C468" s="2"/>
      <c r="D468" s="2"/>
      <c r="E468" s="2"/>
      <c r="F468" s="2"/>
      <c r="G468" s="2"/>
    </row>
    <row r="469" spans="1:7" ht="10.9" customHeight="1">
      <c r="A469" s="2"/>
      <c r="B469" s="2"/>
      <c r="C469" s="2"/>
      <c r="D469" s="2"/>
      <c r="E469" s="2"/>
      <c r="F469" s="2"/>
      <c r="G469" s="2"/>
    </row>
    <row r="470" spans="1:7" ht="10.9" customHeight="1">
      <c r="A470" s="2"/>
      <c r="B470" s="2"/>
      <c r="C470" s="2"/>
      <c r="D470" s="2"/>
      <c r="E470" s="2"/>
      <c r="F470" s="2"/>
      <c r="G470" s="2"/>
    </row>
    <row r="471" spans="1:7" ht="10.9" customHeight="1">
      <c r="A471" s="2"/>
      <c r="B471" s="2"/>
      <c r="C471" s="2"/>
      <c r="D471" s="2"/>
      <c r="E471" s="2"/>
      <c r="F471" s="2"/>
      <c r="G471" s="2"/>
    </row>
    <row r="472" spans="1:7" ht="10.9" customHeight="1">
      <c r="A472" s="2"/>
      <c r="B472" s="2"/>
      <c r="C472" s="2"/>
      <c r="D472" s="2"/>
      <c r="E472" s="2"/>
      <c r="F472" s="2"/>
      <c r="G472" s="2"/>
    </row>
    <row r="473" spans="1:7" ht="10.9" customHeight="1">
      <c r="A473" s="2"/>
      <c r="B473" s="2"/>
      <c r="C473" s="2"/>
      <c r="D473" s="2"/>
      <c r="E473" s="2"/>
      <c r="F473" s="2"/>
      <c r="G473" s="2"/>
    </row>
    <row r="474" spans="1:7" ht="10.9" customHeight="1">
      <c r="A474" s="2"/>
      <c r="B474" s="2"/>
      <c r="C474" s="2"/>
      <c r="D474" s="2"/>
      <c r="E474" s="2"/>
      <c r="F474" s="2"/>
      <c r="G474" s="2"/>
    </row>
    <row r="475" spans="1:7" ht="10.9" customHeight="1">
      <c r="A475" s="2"/>
      <c r="B475" s="2"/>
      <c r="C475" s="2"/>
      <c r="D475" s="2"/>
      <c r="E475" s="2"/>
      <c r="F475" s="2"/>
      <c r="G475" s="2"/>
    </row>
    <row r="476" spans="1:7" ht="10.9" customHeight="1">
      <c r="A476" s="2"/>
      <c r="B476" s="2"/>
      <c r="C476" s="2"/>
      <c r="D476" s="2"/>
      <c r="E476" s="2"/>
      <c r="F476" s="2"/>
      <c r="G476" s="2"/>
    </row>
    <row r="477" spans="1:7" ht="10.9" customHeight="1">
      <c r="A477" s="2"/>
      <c r="B477" s="2"/>
      <c r="C477" s="2"/>
      <c r="D477" s="2"/>
      <c r="E477" s="2"/>
      <c r="F477" s="2"/>
      <c r="G477" s="2"/>
    </row>
    <row r="478" spans="1:7" ht="10.9" customHeight="1">
      <c r="A478" s="2"/>
      <c r="B478" s="2"/>
      <c r="C478" s="2"/>
      <c r="D478" s="2"/>
      <c r="E478" s="2"/>
      <c r="F478" s="2"/>
      <c r="G478" s="2"/>
    </row>
    <row r="479" spans="1:7" ht="10.9" customHeight="1">
      <c r="A479" s="2"/>
      <c r="B479" s="2"/>
      <c r="C479" s="2"/>
      <c r="D479" s="2"/>
      <c r="E479" s="2"/>
      <c r="F479" s="2"/>
      <c r="G479" s="2"/>
    </row>
    <row r="480" spans="1:7" ht="10.9" customHeight="1">
      <c r="A480" s="2"/>
      <c r="B480" s="2"/>
      <c r="C480" s="2"/>
      <c r="D480" s="2"/>
      <c r="E480" s="2"/>
      <c r="F480" s="2"/>
      <c r="G480" s="2"/>
    </row>
    <row r="481" spans="1:4" ht="10.9" customHeight="1">
      <c r="A481" s="2"/>
      <c r="B481" s="2"/>
      <c r="C481" s="2"/>
      <c r="D481" s="2"/>
    </row>
    <row r="482" spans="1:4" ht="10.9" customHeight="1">
      <c r="A482" s="2"/>
      <c r="B482" s="2"/>
      <c r="C482" s="2"/>
      <c r="D482" s="2"/>
    </row>
    <row r="483" spans="1:4" ht="10.9" customHeight="1">
      <c r="A483" s="2"/>
      <c r="B483" s="2"/>
      <c r="C483" s="2"/>
      <c r="D483" s="2"/>
    </row>
    <row r="484" spans="1:4" ht="10.9" customHeight="1">
      <c r="A484" s="2"/>
      <c r="B484" s="2"/>
      <c r="C484" s="2"/>
      <c r="D484" s="2"/>
    </row>
    <row r="485" spans="1:4" ht="10.9" customHeight="1">
      <c r="A485" s="2"/>
      <c r="B485" s="2"/>
      <c r="C485" s="2"/>
      <c r="D485" s="2"/>
    </row>
    <row r="486" spans="1:4" ht="10.9" customHeight="1">
      <c r="A486" s="2"/>
      <c r="B486" s="2"/>
      <c r="C486" s="2"/>
      <c r="D486" s="2"/>
    </row>
    <row r="487" spans="1:4" ht="10.9" customHeight="1">
      <c r="A487" s="2"/>
      <c r="B487" s="2"/>
      <c r="C487" s="2"/>
      <c r="D487" s="2"/>
    </row>
    <row r="488" spans="1:4" ht="10.9" customHeight="1">
      <c r="A488" s="2"/>
      <c r="B488" s="2"/>
      <c r="C488" s="2"/>
      <c r="D488" s="2"/>
    </row>
    <row r="489" spans="1:4" ht="10.9" customHeight="1">
      <c r="A489" s="2"/>
      <c r="B489" s="2"/>
      <c r="C489" s="2"/>
      <c r="D489" s="2"/>
    </row>
    <row r="490" spans="1:4" ht="10.9" customHeight="1">
      <c r="A490" s="2"/>
      <c r="B490" s="2"/>
      <c r="C490" s="2"/>
      <c r="D490" s="2"/>
    </row>
    <row r="491" spans="1:4" ht="10.9" customHeight="1">
      <c r="A491" s="2"/>
      <c r="B491" s="2"/>
      <c r="C491" s="2"/>
      <c r="D491" s="2"/>
    </row>
    <row r="492" spans="1:4" ht="10.9" customHeight="1">
      <c r="A492" s="2"/>
      <c r="B492" s="2"/>
      <c r="C492" s="2"/>
      <c r="D492" s="2"/>
    </row>
    <row r="493" spans="1:4" ht="10.9" customHeight="1">
      <c r="A493" s="2"/>
      <c r="B493" s="2"/>
      <c r="C493" s="2"/>
      <c r="D493" s="2"/>
    </row>
    <row r="494" spans="1:4" ht="10.9" customHeight="1">
      <c r="A494" s="2"/>
      <c r="B494" s="2"/>
      <c r="C494" s="2"/>
      <c r="D494" s="2"/>
    </row>
    <row r="495" spans="1:4" ht="10.9" customHeight="1">
      <c r="A495" s="2"/>
      <c r="B495" s="2"/>
      <c r="C495" s="2"/>
      <c r="D495" s="2"/>
    </row>
    <row r="496" spans="1:4" ht="10.9" customHeight="1">
      <c r="A496" s="2"/>
      <c r="B496" s="2"/>
      <c r="C496" s="2"/>
      <c r="D496" s="2"/>
    </row>
    <row r="497" spans="1:4" ht="10.9" customHeight="1">
      <c r="A497" s="2"/>
      <c r="B497" s="2"/>
      <c r="C497" s="2"/>
      <c r="D497" s="2"/>
    </row>
    <row r="498" spans="1:4" ht="10.9" customHeight="1">
      <c r="A498" s="2"/>
      <c r="B498" s="2"/>
      <c r="C498" s="2"/>
      <c r="D498" s="2"/>
    </row>
    <row r="499" spans="1:4" ht="10.9" customHeight="1">
      <c r="A499" s="2"/>
      <c r="B499" s="2"/>
      <c r="C499" s="2"/>
      <c r="D499" s="2"/>
    </row>
    <row r="500" spans="1:4" ht="10.9" customHeight="1">
      <c r="A500" s="2"/>
      <c r="B500" s="2"/>
      <c r="C500" s="2"/>
      <c r="D500" s="2"/>
    </row>
    <row r="501" spans="1:4" ht="10.9" customHeight="1">
      <c r="A501" s="2"/>
      <c r="B501" s="2"/>
      <c r="C501" s="2"/>
      <c r="D501" s="2"/>
    </row>
    <row r="502" spans="1:4" ht="10.9" customHeight="1">
      <c r="A502" s="2"/>
      <c r="B502" s="2"/>
      <c r="C502" s="2"/>
      <c r="D502" s="2"/>
    </row>
    <row r="503" spans="1:4" ht="10.9" customHeight="1">
      <c r="A503" s="2"/>
      <c r="B503" s="2"/>
      <c r="C503" s="2"/>
      <c r="D503" s="2"/>
    </row>
    <row r="504" spans="1:4" ht="10.9" customHeight="1">
      <c r="A504" s="2"/>
      <c r="B504" s="2"/>
      <c r="C504" s="2"/>
      <c r="D504" s="2"/>
    </row>
    <row r="505" spans="1:4" ht="10.9" customHeight="1">
      <c r="A505" s="2"/>
      <c r="B505" s="2"/>
      <c r="C505" s="2"/>
      <c r="D505" s="2"/>
    </row>
    <row r="506" spans="1:4" ht="10.9" customHeight="1">
      <c r="A506" s="2"/>
      <c r="B506" s="2"/>
      <c r="C506" s="2"/>
      <c r="D506" s="2"/>
    </row>
    <row r="507" spans="1:4" ht="10.9" customHeight="1">
      <c r="A507" s="2"/>
      <c r="B507" s="2"/>
      <c r="C507" s="2"/>
      <c r="D507" s="2"/>
    </row>
    <row r="508" spans="1:4" ht="10.9" customHeight="1">
      <c r="A508" s="2"/>
      <c r="B508" s="2"/>
      <c r="C508" s="2"/>
      <c r="D508" s="2"/>
    </row>
    <row r="509" spans="1:4" ht="10.9" customHeight="1">
      <c r="A509" s="2"/>
      <c r="B509" s="2"/>
      <c r="C509" s="2"/>
      <c r="D509" s="2"/>
    </row>
    <row r="510" spans="1:4" ht="10.9" customHeight="1">
      <c r="A510" s="2"/>
      <c r="B510" s="2"/>
      <c r="C510" s="2"/>
      <c r="D510" s="2"/>
    </row>
    <row r="511" spans="1:4" ht="10.9" customHeight="1">
      <c r="A511" s="2"/>
      <c r="B511" s="2"/>
      <c r="C511" s="2"/>
      <c r="D511" s="2"/>
    </row>
    <row r="512" spans="1:4" ht="10.9" customHeight="1">
      <c r="A512" s="2"/>
      <c r="B512" s="2"/>
      <c r="C512" s="2"/>
      <c r="D512" s="2"/>
    </row>
    <row r="513" spans="1:4" ht="10.9" customHeight="1">
      <c r="A513" s="2"/>
      <c r="B513" s="2"/>
      <c r="C513" s="2"/>
      <c r="D513" s="2"/>
    </row>
    <row r="514" spans="1:4" ht="10.9" customHeight="1">
      <c r="A514" s="2"/>
      <c r="B514" s="2"/>
      <c r="C514" s="2"/>
      <c r="D514" s="2"/>
    </row>
    <row r="515" spans="1:4" ht="10.9" customHeight="1">
      <c r="A515" s="2"/>
      <c r="B515" s="2"/>
      <c r="C515" s="2"/>
      <c r="D515" s="2"/>
    </row>
    <row r="516" spans="1:4" ht="10.9" customHeight="1">
      <c r="A516" s="2"/>
      <c r="B516" s="2"/>
      <c r="C516" s="2"/>
      <c r="D516" s="2"/>
    </row>
    <row r="517" spans="1:4" ht="10.9" customHeight="1">
      <c r="A517" s="2"/>
      <c r="B517" s="2"/>
      <c r="C517" s="2"/>
      <c r="D517" s="2"/>
    </row>
    <row r="518" spans="1:4" ht="10.9" customHeight="1">
      <c r="A518" s="2"/>
      <c r="B518" s="2"/>
      <c r="C518" s="2"/>
      <c r="D518" s="2"/>
    </row>
    <row r="519" spans="1:4" ht="10.9" customHeight="1">
      <c r="C519" s="2"/>
      <c r="D519" s="2"/>
    </row>
    <row r="520" spans="1:4" ht="10.9" customHeight="1">
      <c r="C520" s="2"/>
      <c r="D520" s="2"/>
    </row>
    <row r="521" spans="1:4" ht="10.9" customHeight="1">
      <c r="C521" s="2"/>
      <c r="D521" s="2"/>
    </row>
    <row r="522" spans="1:4" ht="10.9" customHeight="1">
      <c r="C522" s="2"/>
      <c r="D522" s="2"/>
    </row>
    <row r="523" spans="1:4" ht="10.9" customHeight="1">
      <c r="C523" s="2"/>
      <c r="D523" s="2"/>
    </row>
    <row r="524" spans="1:4" ht="10.9" customHeight="1">
      <c r="C524" s="2"/>
      <c r="D524" s="2"/>
    </row>
    <row r="525" spans="1:4" ht="10.9" customHeight="1">
      <c r="C525" s="2"/>
      <c r="D525" s="2"/>
    </row>
    <row r="526" spans="1:4" ht="10.9" customHeight="1">
      <c r="C526" s="2"/>
      <c r="D526" s="2"/>
    </row>
    <row r="527" spans="1:4" ht="10.9" customHeight="1">
      <c r="C527" s="2"/>
      <c r="D527" s="2"/>
    </row>
    <row r="528" spans="1:4" ht="10.9" customHeight="1">
      <c r="C528" s="2"/>
      <c r="D528" s="2"/>
    </row>
    <row r="529" spans="3:4" ht="10.9" customHeight="1">
      <c r="C529" s="2"/>
      <c r="D529" s="2"/>
    </row>
    <row r="530" spans="3:4" ht="10.9" customHeight="1">
      <c r="C530" s="2"/>
      <c r="D530" s="2"/>
    </row>
    <row r="531" spans="3:4" ht="10.9" customHeight="1">
      <c r="C531" s="2"/>
      <c r="D531" s="2"/>
    </row>
    <row r="532" spans="3:4" ht="10.9" customHeight="1">
      <c r="C532" s="2"/>
      <c r="D532" s="2"/>
    </row>
    <row r="533" spans="3:4" ht="10.9" customHeight="1">
      <c r="C533" s="2"/>
      <c r="D533" s="2"/>
    </row>
    <row r="534" spans="3:4" ht="10.9" customHeight="1">
      <c r="C534" s="2"/>
      <c r="D534" s="2"/>
    </row>
    <row r="535" spans="3:4" ht="10.9" customHeight="1">
      <c r="C535" s="2"/>
      <c r="D535" s="2"/>
    </row>
    <row r="536" spans="3:4" ht="10.9" customHeight="1">
      <c r="C536" s="2"/>
      <c r="D536" s="2"/>
    </row>
    <row r="537" spans="3:4" ht="10.9" customHeight="1">
      <c r="C537" s="2"/>
      <c r="D537" s="2"/>
    </row>
    <row r="538" spans="3:4" ht="10.9" customHeight="1">
      <c r="C538" s="2"/>
      <c r="D538" s="2"/>
    </row>
    <row r="539" spans="3:4" ht="10.9" customHeight="1">
      <c r="C539" s="2"/>
      <c r="D539" s="2"/>
    </row>
  </sheetData>
  <sheetProtection sheet="1" objects="1" scenarios="1" selectLockedCells="1" selectUnlockedCells="1"/>
  <dataValidations disablePrompts="1" count="1">
    <dataValidation allowBlank="1" showErrorMessage="1" sqref="B1 F1 I1 K1 B17 F17 I17 K17 M17 B96 I96 K96 B113 I113 K113 B138 I138 K138 B170 I170 K170 M170 B217 I217 K217 M217 A246 E246 G246 K246 E370 M370" xr:uid="{00000000-0002-0000-0400-000000000000}"/>
  </dataValidations>
  <pageMargins left="0.70000000000000007" right="0.70000000000000007" top="1.0457000000000001" bottom="1.0457000000000001" header="0.75000000000000011" footer="0.75000000000000011"/>
  <pageSetup paperSize="0" fitToWidth="0" fitToHeight="0" pageOrder="overThenDown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T1048576"/>
  <sheetViews>
    <sheetView zoomScale="175" zoomScaleNormal="175" workbookViewId="0"/>
  </sheetViews>
  <sheetFormatPr defaultRowHeight="10.9" customHeight="1"/>
  <cols>
    <col min="1" max="1" width="14.7109375" style="122" customWidth="1"/>
    <col min="2" max="2" width="9.5703125" style="122" customWidth="1"/>
    <col min="3" max="3" width="4.28515625" style="122" customWidth="1"/>
    <col min="4" max="4" width="3.7109375" style="122" customWidth="1"/>
    <col min="5" max="7" width="3.28515625" style="122" customWidth="1"/>
    <col min="8" max="9" width="3.7109375" style="122" customWidth="1"/>
    <col min="10" max="10" width="5.7109375" style="122" customWidth="1"/>
    <col min="11" max="14" width="8.7109375" style="122" customWidth="1"/>
    <col min="15" max="15" width="8.7109375" style="185" customWidth="1"/>
    <col min="16" max="20" width="8.7109375" style="186" customWidth="1"/>
    <col min="21" max="40" width="8.7109375" style="122" customWidth="1"/>
    <col min="41" max="203" width="12.5703125" style="122" customWidth="1"/>
    <col min="204" max="228" width="12.28515625" style="123" customWidth="1"/>
    <col min="229" max="1025" width="12.28515625" customWidth="1"/>
  </cols>
  <sheetData>
    <row r="1" spans="1:40" ht="12.95" customHeight="1">
      <c r="A1" s="391" t="s">
        <v>601</v>
      </c>
      <c r="B1" s="421" t="s">
        <v>602</v>
      </c>
      <c r="C1" s="392" t="s">
        <v>8</v>
      </c>
      <c r="D1" s="393" t="s">
        <v>9</v>
      </c>
      <c r="E1" s="394" t="s">
        <v>3</v>
      </c>
      <c r="F1" s="392" t="s">
        <v>45</v>
      </c>
      <c r="G1" s="395" t="s">
        <v>46</v>
      </c>
      <c r="H1" s="392" t="s">
        <v>11</v>
      </c>
      <c r="I1" s="395" t="s">
        <v>603</v>
      </c>
      <c r="J1" s="396" t="str">
        <f>IF(Damage!I14=0,"-","Fight")</f>
        <v>-</v>
      </c>
      <c r="K1" s="396" t="str">
        <f>IF(ISBLANK(VLOOKUP(Damage!B13,Enemies!B2:AN322,10,0)),"",VLOOKUP(Damage!B13,Enemies!B2:AN322,10,0))</f>
        <v/>
      </c>
      <c r="L1" s="396" t="str">
        <f>IF(ISBLANK(VLOOKUP(Damage!B13,Enemies!B2:AN322,11,0)),"",VLOOKUP(Damage!B13,Enemies!B2:AN322,11,0))</f>
        <v/>
      </c>
      <c r="M1" s="396" t="str">
        <f>IF(ISBLANK(VLOOKUP(Damage!B13,Enemies!B2:AN322,12,0)),"",VLOOKUP(Damage!B13,Enemies!B2:AN322,12,0))</f>
        <v/>
      </c>
      <c r="N1" s="397" t="str">
        <f>IF(ISBLANK(VLOOKUP(Damage!B13,Enemies!B2:AN322,13,0)),"",VLOOKUP(Damage!B13,Enemies!B2:AN322,13,0))</f>
        <v>-</v>
      </c>
      <c r="O1" s="396" t="str">
        <f>IF(ISBLANK(VLOOKUP(Damage!B13,Enemies!B2:AN322,14,0)),"",VLOOKUP(Damage!B13,Enemies!B2:AN322,14,0))</f>
        <v/>
      </c>
      <c r="P1" s="396" t="str">
        <f>IF(ISBLANK(VLOOKUP(Damage!B13,Enemies!B2:AN322,15,0)),"",VLOOKUP(Damage!B13,Enemies!B2:AN322,15,0))</f>
        <v/>
      </c>
      <c r="Q1" s="396" t="str">
        <f>IF(ISBLANK(VLOOKUP(Damage!B13,Enemies!B2:AN322,16,0)),"",VLOOKUP(Damage!B13,Enemies!B2:AN322,16,0))</f>
        <v/>
      </c>
      <c r="R1" s="396" t="str">
        <f>IF(ISBLANK(VLOOKUP(Damage!B13,Enemies!B2:AN322,17,0)),"",VLOOKUP(Damage!B13,Enemies!B2:AN322,17,0))</f>
        <v/>
      </c>
      <c r="S1" s="396" t="str">
        <f>IF(ISBLANK(VLOOKUP(Damage!B13,Enemies!B2:AN322,18,0)),"",VLOOKUP(Damage!B13,Enemies!B2:AN322,18,0))</f>
        <v/>
      </c>
      <c r="T1" s="396" t="str">
        <f>IF(ISBLANK(VLOOKUP(Damage!B13,Enemies!B2:AN322,19,0)),"",VLOOKUP(Damage!B13,Enemies!B2:AN322,19,0))</f>
        <v/>
      </c>
      <c r="U1" s="396" t="str">
        <f>IF(ISBLANK(VLOOKUP(Damage!B13,Enemies!B2:AN322,20,0)),"",VLOOKUP(Damage!B13,Enemies!B2:AN322,20,0))</f>
        <v/>
      </c>
      <c r="V1" s="396" t="str">
        <f>IF(ISBLANK(VLOOKUP(Damage!B13,Enemies!B2:AN322,21,0)),"",VLOOKUP(Damage!B13,Enemies!B2:AN322,21,0))</f>
        <v/>
      </c>
      <c r="W1" s="396" t="str">
        <f>IF(ISBLANK(VLOOKUP(Damage!B13,Enemies!B2:AN322,22,0)),"",VLOOKUP(Damage!B13,Enemies!B2:AN322,22,0))</f>
        <v/>
      </c>
      <c r="X1" s="396" t="str">
        <f>IF(ISBLANK(VLOOKUP(Damage!B13,Enemies!B2:AN322,23,0)),"",VLOOKUP(Damage!B13,Enemies!B2:AN322,23,0))</f>
        <v/>
      </c>
      <c r="Y1" s="396" t="str">
        <f>IF(ISBLANK(VLOOKUP(Damage!B13,Enemies!B2:AN322,24,0)),"",VLOOKUP(Damage!B13,Enemies!B2:AN322,24,0))</f>
        <v/>
      </c>
      <c r="Z1" s="396" t="str">
        <f>IF(ISBLANK(VLOOKUP(Damage!B13,Enemies!B2:AN322,25,0)),"",VLOOKUP(Damage!B13,Enemies!B2:AN322,25,0))</f>
        <v/>
      </c>
      <c r="AA1" s="396" t="str">
        <f>IF(ISBLANK(VLOOKUP(Damage!B13,Enemies!B2:AN322,26,0)),"",VLOOKUP(Damage!B13,Enemies!B2:AN322,26,0))</f>
        <v/>
      </c>
      <c r="AB1" s="396" t="str">
        <f>IF(ISBLANK(VLOOKUP(Damage!B13,Enemies!B2:AN322,27,0)),"",VLOOKUP(Damage!B13,Enemies!B2:AN322,27,0))</f>
        <v/>
      </c>
      <c r="AC1" s="396" t="str">
        <f>IF(ISBLANK(VLOOKUP(Damage!B13,Enemies!B2:AN322,28,0)),"",VLOOKUP(Damage!B13,Enemies!B2:AN322,28,0))</f>
        <v/>
      </c>
      <c r="AD1" s="396" t="str">
        <f>IF(ISBLANK(VLOOKUP(Damage!B13,Enemies!B2:AN322,29,0)),"",VLOOKUP(Damage!B13,Enemies!B2:AN322,29,0))</f>
        <v/>
      </c>
      <c r="AE1" s="396" t="str">
        <f>IF(ISBLANK(VLOOKUP(Damage!B13,Enemies!B2:AN322,30,0)),"",VLOOKUP(Damage!B13,Enemies!B2:AN322,30,0))</f>
        <v/>
      </c>
      <c r="AF1" s="396" t="str">
        <f>IF(ISBLANK(VLOOKUP(Damage!B13,Enemies!B2:AN322,31,0)),"",VLOOKUP(Damage!B13,Enemies!B2:AN322,31,0))</f>
        <v/>
      </c>
      <c r="AG1" s="396" t="str">
        <f>IF(ISBLANK(VLOOKUP(Damage!B13,Enemies!B2:AN322,32,0)),"",VLOOKUP(Damage!B13,Enemies!B2:AN322,32,0))</f>
        <v/>
      </c>
      <c r="AH1" s="396" t="str">
        <f>IF(ISBLANK(VLOOKUP(Damage!B13,Enemies!B2:AN322,33,0)),"",VLOOKUP(Damage!B13,Enemies!B2:AN322,33,0))</f>
        <v/>
      </c>
      <c r="AI1" s="396" t="str">
        <f>IF(ISBLANK(VLOOKUP(Damage!B13,Enemies!B2:AN322,34,0)),"",VLOOKUP(Damage!B13,Enemies!B2:AN322,34,0))</f>
        <v/>
      </c>
      <c r="AJ1" s="396" t="str">
        <f>IF(ISBLANK(VLOOKUP(Damage!B13,Enemies!B2:AN322,35,0)),"",VLOOKUP(Damage!B13,Enemies!B2:AN322,35,0))</f>
        <v/>
      </c>
      <c r="AK1" s="396" t="str">
        <f>IF(ISBLANK(VLOOKUP(Damage!B13,Enemies!B2:AN322,36,0)),"",VLOOKUP(Damage!B13,Enemies!B2:AN322,36,0))</f>
        <v/>
      </c>
      <c r="AL1" s="396" t="str">
        <f>IF(ISBLANK(VLOOKUP(Damage!B13,Enemies!B2:AN322,37,0)),"",VLOOKUP(Damage!B13,Enemies!B2:AN322,37,0))</f>
        <v/>
      </c>
      <c r="AM1" s="396" t="str">
        <f>IF(ISBLANK(VLOOKUP(Damage!B13,Enemies!B2:AN322,38,0)),"",VLOOKUP(Damage!B13,Enemies!B2:AN322,38,0))</f>
        <v/>
      </c>
      <c r="AN1" s="398" t="str">
        <f>IF(ISBLANK(VLOOKUP(Damage!B13,Enemies!B2:AN322,39,0)),"",VLOOKUP(Damage!B13,Enemies!B2:AN322,39,0))</f>
        <v/>
      </c>
    </row>
    <row r="2" spans="1:40" ht="12.95" customHeight="1">
      <c r="A2" s="431" t="s">
        <v>1263</v>
      </c>
      <c r="B2" s="422" t="s">
        <v>25</v>
      </c>
      <c r="C2" s="124">
        <v>0</v>
      </c>
      <c r="D2" s="125">
        <v>0</v>
      </c>
      <c r="E2" s="126">
        <v>0</v>
      </c>
      <c r="F2" s="124">
        <v>0</v>
      </c>
      <c r="G2" s="127">
        <v>0</v>
      </c>
      <c r="H2" s="124">
        <v>0</v>
      </c>
      <c r="I2" s="127">
        <v>0</v>
      </c>
      <c r="J2" s="399"/>
      <c r="K2" s="163"/>
      <c r="L2" s="163"/>
      <c r="M2" s="163"/>
      <c r="N2" s="128" t="s">
        <v>25</v>
      </c>
      <c r="O2" s="400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401"/>
    </row>
    <row r="3" spans="1:40" ht="10.9" customHeight="1">
      <c r="A3" s="432" t="s">
        <v>604</v>
      </c>
      <c r="B3" s="422" t="s">
        <v>605</v>
      </c>
      <c r="C3" s="124">
        <v>50</v>
      </c>
      <c r="D3" s="125" t="s">
        <v>25</v>
      </c>
      <c r="E3" s="126">
        <v>5</v>
      </c>
      <c r="F3" s="124">
        <v>30</v>
      </c>
      <c r="G3" s="127">
        <v>0</v>
      </c>
      <c r="H3" s="124">
        <v>100</v>
      </c>
      <c r="I3" s="127">
        <v>100</v>
      </c>
      <c r="J3" s="399"/>
      <c r="K3" s="163"/>
      <c r="L3" s="163"/>
      <c r="M3" s="163"/>
      <c r="N3" s="128" t="s">
        <v>25</v>
      </c>
      <c r="O3" s="400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401"/>
    </row>
    <row r="4" spans="1:40" ht="10.9" customHeight="1">
      <c r="A4" s="433" t="s">
        <v>1263</v>
      </c>
      <c r="B4" s="422" t="s">
        <v>606</v>
      </c>
      <c r="C4" s="124">
        <v>250</v>
      </c>
      <c r="D4" s="125" t="s">
        <v>25</v>
      </c>
      <c r="E4" s="126">
        <v>7</v>
      </c>
      <c r="F4" s="124">
        <v>30</v>
      </c>
      <c r="G4" s="127">
        <v>0</v>
      </c>
      <c r="H4" s="124">
        <v>100</v>
      </c>
      <c r="I4" s="127">
        <v>100</v>
      </c>
      <c r="J4" s="399">
        <v>1.5</v>
      </c>
      <c r="K4" s="163" t="s">
        <v>607</v>
      </c>
      <c r="L4" s="163"/>
      <c r="M4" s="163"/>
      <c r="N4" s="128" t="s">
        <v>25</v>
      </c>
      <c r="O4" s="400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401"/>
    </row>
    <row r="5" spans="1:40" ht="10.9" customHeight="1">
      <c r="A5" s="433" t="s">
        <v>605</v>
      </c>
      <c r="B5" s="423" t="s">
        <v>608</v>
      </c>
      <c r="C5" s="129">
        <v>500</v>
      </c>
      <c r="D5" s="130">
        <v>100</v>
      </c>
      <c r="E5" s="131">
        <v>9</v>
      </c>
      <c r="F5" s="129">
        <v>30</v>
      </c>
      <c r="G5" s="132">
        <v>0</v>
      </c>
      <c r="H5" s="129">
        <v>100</v>
      </c>
      <c r="I5" s="132">
        <v>100</v>
      </c>
      <c r="J5" s="133">
        <v>1</v>
      </c>
      <c r="K5" s="134" t="s">
        <v>609</v>
      </c>
      <c r="L5" s="134"/>
      <c r="M5" s="134"/>
      <c r="N5" s="135" t="s">
        <v>25</v>
      </c>
      <c r="O5" s="136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  <c r="AH5" s="132"/>
      <c r="AI5" s="132"/>
      <c r="AJ5" s="132"/>
      <c r="AK5" s="132"/>
      <c r="AL5" s="132"/>
      <c r="AM5" s="132"/>
      <c r="AN5" s="402"/>
    </row>
    <row r="6" spans="1:40" ht="10.9" customHeight="1">
      <c r="A6" s="433" t="s">
        <v>610</v>
      </c>
      <c r="B6" s="424" t="s">
        <v>611</v>
      </c>
      <c r="C6" s="137">
        <v>100</v>
      </c>
      <c r="D6" s="138">
        <v>100</v>
      </c>
      <c r="E6" s="139">
        <v>8</v>
      </c>
      <c r="F6" s="137">
        <v>30</v>
      </c>
      <c r="G6" s="140">
        <v>0</v>
      </c>
      <c r="H6" s="137">
        <v>100</v>
      </c>
      <c r="I6" s="140">
        <v>100</v>
      </c>
      <c r="J6" s="141">
        <v>2</v>
      </c>
      <c r="K6" s="140" t="s">
        <v>612</v>
      </c>
      <c r="L6" s="140"/>
      <c r="M6" s="140"/>
      <c r="N6" s="137" t="s">
        <v>25</v>
      </c>
      <c r="O6" s="142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403"/>
    </row>
    <row r="7" spans="1:40" ht="10.9" customHeight="1">
      <c r="A7" s="433" t="s">
        <v>613</v>
      </c>
      <c r="B7" s="425" t="s">
        <v>614</v>
      </c>
      <c r="C7" s="143">
        <v>200</v>
      </c>
      <c r="D7" s="144">
        <v>100</v>
      </c>
      <c r="E7" s="145">
        <v>9</v>
      </c>
      <c r="F7" s="143">
        <v>30</v>
      </c>
      <c r="G7" s="146">
        <v>30</v>
      </c>
      <c r="H7" s="143">
        <v>100</v>
      </c>
      <c r="I7" s="146">
        <v>100</v>
      </c>
      <c r="J7" s="404">
        <v>2</v>
      </c>
      <c r="K7" s="146" t="s">
        <v>615</v>
      </c>
      <c r="L7" s="146"/>
      <c r="M7" s="146"/>
      <c r="N7" s="143" t="s">
        <v>25</v>
      </c>
      <c r="O7" s="405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406"/>
    </row>
    <row r="8" spans="1:40" ht="10.9" customHeight="1">
      <c r="A8" s="433" t="s">
        <v>606</v>
      </c>
      <c r="B8" s="425" t="s">
        <v>616</v>
      </c>
      <c r="C8" s="143">
        <v>300</v>
      </c>
      <c r="D8" s="144">
        <v>100</v>
      </c>
      <c r="E8" s="145">
        <v>10</v>
      </c>
      <c r="F8" s="143">
        <v>30</v>
      </c>
      <c r="G8" s="146">
        <v>30</v>
      </c>
      <c r="H8" s="143">
        <v>100</v>
      </c>
      <c r="I8" s="146">
        <v>100</v>
      </c>
      <c r="J8" s="404">
        <v>2</v>
      </c>
      <c r="K8" s="146" t="s">
        <v>617</v>
      </c>
      <c r="L8" s="146"/>
      <c r="M8" s="146"/>
      <c r="N8" s="143" t="s">
        <v>25</v>
      </c>
      <c r="O8" s="405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406"/>
    </row>
    <row r="9" spans="1:40" ht="10.9" customHeight="1">
      <c r="A9" s="433" t="s">
        <v>1263</v>
      </c>
      <c r="B9" s="426" t="s">
        <v>618</v>
      </c>
      <c r="C9" s="147">
        <v>600</v>
      </c>
      <c r="D9" s="148">
        <v>100</v>
      </c>
      <c r="E9" s="149">
        <v>15</v>
      </c>
      <c r="F9" s="147">
        <v>30</v>
      </c>
      <c r="G9" s="150">
        <v>30</v>
      </c>
      <c r="H9" s="147">
        <v>100</v>
      </c>
      <c r="I9" s="150">
        <v>100</v>
      </c>
      <c r="J9" s="151">
        <v>2</v>
      </c>
      <c r="K9" s="150" t="s">
        <v>619</v>
      </c>
      <c r="L9" s="150"/>
      <c r="M9" s="150"/>
      <c r="N9" s="147" t="s">
        <v>25</v>
      </c>
      <c r="O9" s="152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407"/>
    </row>
    <row r="10" spans="1:40" ht="10.9" customHeight="1">
      <c r="A10" s="432" t="s">
        <v>620</v>
      </c>
      <c r="B10" s="427" t="s">
        <v>621</v>
      </c>
      <c r="C10" s="153">
        <v>200</v>
      </c>
      <c r="D10" s="154">
        <v>100</v>
      </c>
      <c r="E10" s="155">
        <v>8</v>
      </c>
      <c r="F10" s="153">
        <v>15</v>
      </c>
      <c r="G10" s="156">
        <v>0</v>
      </c>
      <c r="H10" s="153" t="s">
        <v>622</v>
      </c>
      <c r="I10" s="156" t="s">
        <v>623</v>
      </c>
      <c r="J10" s="157">
        <v>3</v>
      </c>
      <c r="K10" s="158" t="s">
        <v>624</v>
      </c>
      <c r="L10" s="158"/>
      <c r="M10" s="158"/>
      <c r="N10" s="159" t="s">
        <v>25</v>
      </c>
      <c r="O10" s="160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408"/>
    </row>
    <row r="11" spans="1:40" ht="10.9" customHeight="1">
      <c r="A11" s="433" t="s">
        <v>1263</v>
      </c>
      <c r="B11" s="422" t="s">
        <v>625</v>
      </c>
      <c r="C11" s="124">
        <v>800</v>
      </c>
      <c r="D11" s="161">
        <v>300</v>
      </c>
      <c r="E11" s="162">
        <v>16</v>
      </c>
      <c r="F11" s="128">
        <v>15</v>
      </c>
      <c r="G11" s="163">
        <v>0</v>
      </c>
      <c r="H11" s="124" t="s">
        <v>622</v>
      </c>
      <c r="I11" s="127" t="s">
        <v>623</v>
      </c>
      <c r="J11" s="399">
        <v>3</v>
      </c>
      <c r="K11" s="163" t="s">
        <v>626</v>
      </c>
      <c r="L11" s="163"/>
      <c r="M11" s="163"/>
      <c r="N11" s="128" t="s">
        <v>25</v>
      </c>
      <c r="O11" s="400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401"/>
    </row>
    <row r="12" spans="1:40" ht="10.9" customHeight="1">
      <c r="A12" s="433" t="s">
        <v>627</v>
      </c>
      <c r="B12" s="423" t="s">
        <v>628</v>
      </c>
      <c r="C12" s="129">
        <v>4000</v>
      </c>
      <c r="D12" s="164">
        <v>500</v>
      </c>
      <c r="E12" s="165">
        <v>20</v>
      </c>
      <c r="F12" s="135">
        <v>15</v>
      </c>
      <c r="G12" s="134">
        <v>0</v>
      </c>
      <c r="H12" s="129" t="s">
        <v>622</v>
      </c>
      <c r="I12" s="132" t="s">
        <v>623</v>
      </c>
      <c r="J12" s="133">
        <v>3</v>
      </c>
      <c r="K12" s="134" t="s">
        <v>629</v>
      </c>
      <c r="L12" s="134"/>
      <c r="M12" s="134"/>
      <c r="N12" s="135" t="s">
        <v>25</v>
      </c>
      <c r="O12" s="136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  <c r="AH12" s="132"/>
      <c r="AI12" s="132"/>
      <c r="AJ12" s="132"/>
      <c r="AK12" s="132"/>
      <c r="AL12" s="132"/>
      <c r="AM12" s="132"/>
      <c r="AN12" s="402"/>
    </row>
    <row r="13" spans="1:40" ht="10.9" customHeight="1">
      <c r="A13" s="433" t="s">
        <v>630</v>
      </c>
      <c r="B13" s="424" t="s">
        <v>631</v>
      </c>
      <c r="C13" s="137">
        <v>50</v>
      </c>
      <c r="D13" s="138" t="s">
        <v>25</v>
      </c>
      <c r="E13" s="139">
        <v>6</v>
      </c>
      <c r="F13" s="137">
        <v>30</v>
      </c>
      <c r="G13" s="140">
        <v>0</v>
      </c>
      <c r="H13" s="137">
        <v>100</v>
      </c>
      <c r="I13" s="140" t="s">
        <v>623</v>
      </c>
      <c r="J13" s="141">
        <v>2</v>
      </c>
      <c r="K13" s="140" t="s">
        <v>632</v>
      </c>
      <c r="L13" s="140"/>
      <c r="M13" s="140"/>
      <c r="N13" s="137" t="s">
        <v>357</v>
      </c>
      <c r="O13" s="142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403"/>
    </row>
    <row r="14" spans="1:40" ht="10.9" customHeight="1">
      <c r="A14" s="433" t="s">
        <v>633</v>
      </c>
      <c r="B14" s="425" t="s">
        <v>634</v>
      </c>
      <c r="C14" s="143">
        <v>150</v>
      </c>
      <c r="D14" s="144" t="s">
        <v>25</v>
      </c>
      <c r="E14" s="145">
        <v>8</v>
      </c>
      <c r="F14" s="143">
        <v>30</v>
      </c>
      <c r="G14" s="146">
        <v>0</v>
      </c>
      <c r="H14" s="143">
        <v>100</v>
      </c>
      <c r="I14" s="146" t="s">
        <v>623</v>
      </c>
      <c r="J14" s="404">
        <v>2</v>
      </c>
      <c r="K14" s="146" t="s">
        <v>635</v>
      </c>
      <c r="L14" s="146"/>
      <c r="M14" s="146"/>
      <c r="N14" s="143" t="s">
        <v>357</v>
      </c>
      <c r="O14" s="405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406"/>
    </row>
    <row r="15" spans="1:40" ht="10.9" customHeight="1">
      <c r="A15" s="433" t="s">
        <v>636</v>
      </c>
      <c r="B15" s="426" t="s">
        <v>637</v>
      </c>
      <c r="C15" s="147">
        <v>300</v>
      </c>
      <c r="D15" s="148" t="s">
        <v>25</v>
      </c>
      <c r="E15" s="149">
        <v>10</v>
      </c>
      <c r="F15" s="147">
        <v>30</v>
      </c>
      <c r="G15" s="150">
        <v>0</v>
      </c>
      <c r="H15" s="147">
        <v>100</v>
      </c>
      <c r="I15" s="150" t="s">
        <v>623</v>
      </c>
      <c r="J15" s="151">
        <v>2</v>
      </c>
      <c r="K15" s="150" t="s">
        <v>638</v>
      </c>
      <c r="L15" s="150"/>
      <c r="M15" s="150"/>
      <c r="N15" s="147" t="s">
        <v>357</v>
      </c>
      <c r="O15" s="152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407"/>
    </row>
    <row r="16" spans="1:40" ht="10.9" customHeight="1">
      <c r="A16" s="433" t="s">
        <v>1263</v>
      </c>
      <c r="B16" s="427" t="s">
        <v>639</v>
      </c>
      <c r="C16" s="153">
        <v>250</v>
      </c>
      <c r="D16" s="154" t="s">
        <v>25</v>
      </c>
      <c r="E16" s="155">
        <v>8</v>
      </c>
      <c r="F16" s="153">
        <v>30</v>
      </c>
      <c r="G16" s="156">
        <v>0</v>
      </c>
      <c r="H16" s="153">
        <v>100</v>
      </c>
      <c r="I16" s="156">
        <v>100</v>
      </c>
      <c r="J16" s="157">
        <v>2</v>
      </c>
      <c r="K16" s="158" t="s">
        <v>640</v>
      </c>
      <c r="L16" s="158"/>
      <c r="M16" s="158"/>
      <c r="N16" s="159" t="s">
        <v>25</v>
      </c>
      <c r="O16" s="160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408"/>
    </row>
    <row r="17" spans="1:40" ht="10.9" customHeight="1">
      <c r="A17" s="432" t="s">
        <v>641</v>
      </c>
      <c r="B17" s="422" t="s">
        <v>642</v>
      </c>
      <c r="C17" s="124">
        <v>500</v>
      </c>
      <c r="D17" s="125" t="s">
        <v>25</v>
      </c>
      <c r="E17" s="126">
        <v>12</v>
      </c>
      <c r="F17" s="124">
        <v>30</v>
      </c>
      <c r="G17" s="127">
        <v>0</v>
      </c>
      <c r="H17" s="124">
        <v>100</v>
      </c>
      <c r="I17" s="127">
        <v>100</v>
      </c>
      <c r="J17" s="399">
        <v>2</v>
      </c>
      <c r="K17" s="163" t="s">
        <v>643</v>
      </c>
      <c r="L17" s="163" t="s">
        <v>353</v>
      </c>
      <c r="M17" s="163"/>
      <c r="N17" s="128" t="s">
        <v>25</v>
      </c>
      <c r="O17" s="400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401"/>
    </row>
    <row r="18" spans="1:40" ht="10.9" customHeight="1">
      <c r="A18" s="433" t="s">
        <v>1263</v>
      </c>
      <c r="B18" s="423" t="s">
        <v>644</v>
      </c>
      <c r="C18" s="129">
        <v>3000</v>
      </c>
      <c r="D18" s="130" t="s">
        <v>25</v>
      </c>
      <c r="E18" s="131">
        <v>24</v>
      </c>
      <c r="F18" s="129">
        <v>30</v>
      </c>
      <c r="G18" s="132">
        <v>0</v>
      </c>
      <c r="H18" s="129">
        <v>100</v>
      </c>
      <c r="I18" s="132">
        <v>100</v>
      </c>
      <c r="J18" s="133">
        <v>2</v>
      </c>
      <c r="K18" s="134" t="s">
        <v>645</v>
      </c>
      <c r="L18" s="134" t="s">
        <v>353</v>
      </c>
      <c r="M18" s="134"/>
      <c r="N18" s="135" t="s">
        <v>25</v>
      </c>
      <c r="O18" s="136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402"/>
    </row>
    <row r="19" spans="1:40" ht="10.9" customHeight="1">
      <c r="A19" s="433" t="s">
        <v>646</v>
      </c>
      <c r="B19" s="424" t="s">
        <v>647</v>
      </c>
      <c r="C19" s="137">
        <v>500</v>
      </c>
      <c r="D19" s="138" t="s">
        <v>25</v>
      </c>
      <c r="E19" s="139">
        <v>14</v>
      </c>
      <c r="F19" s="137">
        <v>30</v>
      </c>
      <c r="G19" s="140">
        <v>1</v>
      </c>
      <c r="H19" s="137">
        <v>100</v>
      </c>
      <c r="I19" s="140">
        <v>150</v>
      </c>
      <c r="J19" s="141">
        <v>2</v>
      </c>
      <c r="K19" s="140" t="s">
        <v>648</v>
      </c>
      <c r="L19" s="140" t="s">
        <v>590</v>
      </c>
      <c r="M19" s="140"/>
      <c r="N19" s="137" t="s">
        <v>333</v>
      </c>
      <c r="O19" s="142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403"/>
    </row>
    <row r="20" spans="1:40" ht="10.9" customHeight="1">
      <c r="A20" s="433" t="s">
        <v>649</v>
      </c>
      <c r="B20" s="425" t="s">
        <v>650</v>
      </c>
      <c r="C20" s="143">
        <v>1500</v>
      </c>
      <c r="D20" s="144" t="s">
        <v>25</v>
      </c>
      <c r="E20" s="145">
        <v>21</v>
      </c>
      <c r="F20" s="143">
        <v>30</v>
      </c>
      <c r="G20" s="146">
        <v>5</v>
      </c>
      <c r="H20" s="143">
        <v>100</v>
      </c>
      <c r="I20" s="146">
        <v>150</v>
      </c>
      <c r="J20" s="404">
        <v>2</v>
      </c>
      <c r="K20" s="146" t="s">
        <v>651</v>
      </c>
      <c r="L20" s="146" t="s">
        <v>590</v>
      </c>
      <c r="M20" s="146"/>
      <c r="N20" s="143" t="s">
        <v>333</v>
      </c>
      <c r="O20" s="146" t="s">
        <v>345</v>
      </c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406"/>
    </row>
    <row r="21" spans="1:40" ht="10.9" customHeight="1">
      <c r="A21" s="433" t="s">
        <v>652</v>
      </c>
      <c r="B21" s="426" t="s">
        <v>653</v>
      </c>
      <c r="C21" s="147">
        <v>2500</v>
      </c>
      <c r="D21" s="148" t="s">
        <v>25</v>
      </c>
      <c r="E21" s="149">
        <v>28</v>
      </c>
      <c r="F21" s="147">
        <v>30</v>
      </c>
      <c r="G21" s="150">
        <v>10</v>
      </c>
      <c r="H21" s="147">
        <v>100</v>
      </c>
      <c r="I21" s="150">
        <v>150</v>
      </c>
      <c r="J21" s="151">
        <v>2</v>
      </c>
      <c r="K21" s="150" t="s">
        <v>654</v>
      </c>
      <c r="L21" s="150" t="s">
        <v>590</v>
      </c>
      <c r="M21" s="150"/>
      <c r="N21" s="147" t="s">
        <v>333</v>
      </c>
      <c r="O21" s="150" t="s">
        <v>345</v>
      </c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407"/>
    </row>
    <row r="22" spans="1:40" ht="10.9" customHeight="1">
      <c r="A22" s="433" t="s">
        <v>1263</v>
      </c>
      <c r="B22" s="427" t="s">
        <v>655</v>
      </c>
      <c r="C22" s="153">
        <v>600</v>
      </c>
      <c r="D22" s="154">
        <v>100</v>
      </c>
      <c r="E22" s="155">
        <v>15</v>
      </c>
      <c r="F22" s="153">
        <v>15</v>
      </c>
      <c r="G22" s="156">
        <v>1</v>
      </c>
      <c r="H22" s="153">
        <v>100</v>
      </c>
      <c r="I22" s="156">
        <v>150</v>
      </c>
      <c r="J22" s="157">
        <v>1</v>
      </c>
      <c r="K22" s="158" t="s">
        <v>656</v>
      </c>
      <c r="L22" s="158"/>
      <c r="M22" s="158"/>
      <c r="N22" s="159" t="s">
        <v>275</v>
      </c>
      <c r="O22" s="158" t="s">
        <v>281</v>
      </c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408"/>
    </row>
    <row r="23" spans="1:40" ht="10.9" customHeight="1">
      <c r="A23" s="432" t="s">
        <v>657</v>
      </c>
      <c r="B23" s="422" t="s">
        <v>658</v>
      </c>
      <c r="C23" s="124">
        <v>3000</v>
      </c>
      <c r="D23" s="125">
        <v>300</v>
      </c>
      <c r="E23" s="126">
        <v>25</v>
      </c>
      <c r="F23" s="124">
        <v>15</v>
      </c>
      <c r="G23" s="127">
        <v>15</v>
      </c>
      <c r="H23" s="124">
        <v>100</v>
      </c>
      <c r="I23" s="127">
        <v>150</v>
      </c>
      <c r="J23" s="399">
        <v>1</v>
      </c>
      <c r="K23" s="163" t="s">
        <v>659</v>
      </c>
      <c r="L23" s="163"/>
      <c r="M23" s="163"/>
      <c r="N23" s="128" t="s">
        <v>281</v>
      </c>
      <c r="O23" s="163" t="s">
        <v>279</v>
      </c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401"/>
    </row>
    <row r="24" spans="1:40" ht="10.9" customHeight="1">
      <c r="A24" s="433" t="s">
        <v>1263</v>
      </c>
      <c r="B24" s="423" t="s">
        <v>660</v>
      </c>
      <c r="C24" s="129">
        <v>4800</v>
      </c>
      <c r="D24" s="130">
        <v>500</v>
      </c>
      <c r="E24" s="131">
        <v>30</v>
      </c>
      <c r="F24" s="129">
        <v>15</v>
      </c>
      <c r="G24" s="132">
        <v>15</v>
      </c>
      <c r="H24" s="129">
        <v>100</v>
      </c>
      <c r="I24" s="132">
        <v>150</v>
      </c>
      <c r="J24" s="133">
        <v>1</v>
      </c>
      <c r="K24" s="134" t="s">
        <v>661</v>
      </c>
      <c r="L24" s="134"/>
      <c r="M24" s="134"/>
      <c r="N24" s="135" t="s">
        <v>281</v>
      </c>
      <c r="O24" s="134" t="s">
        <v>279</v>
      </c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402"/>
    </row>
    <row r="25" spans="1:40" ht="10.9" customHeight="1">
      <c r="A25" s="433" t="s">
        <v>634</v>
      </c>
      <c r="B25" s="424" t="s">
        <v>662</v>
      </c>
      <c r="C25" s="137">
        <v>800</v>
      </c>
      <c r="D25" s="138">
        <v>100</v>
      </c>
      <c r="E25" s="139">
        <v>15</v>
      </c>
      <c r="F25" s="137">
        <v>15</v>
      </c>
      <c r="G25" s="140">
        <v>10</v>
      </c>
      <c r="H25" s="137">
        <v>100</v>
      </c>
      <c r="I25" s="140">
        <v>150</v>
      </c>
      <c r="J25" s="141">
        <v>2</v>
      </c>
      <c r="K25" s="140" t="s">
        <v>663</v>
      </c>
      <c r="L25" s="140"/>
      <c r="M25" s="140"/>
      <c r="N25" s="137" t="s">
        <v>285</v>
      </c>
      <c r="O25" s="140" t="s">
        <v>333</v>
      </c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403"/>
    </row>
    <row r="26" spans="1:40" ht="10.9" customHeight="1">
      <c r="A26" s="433" t="s">
        <v>664</v>
      </c>
      <c r="B26" s="425" t="s">
        <v>665</v>
      </c>
      <c r="C26" s="143">
        <v>2400</v>
      </c>
      <c r="D26" s="144">
        <v>300</v>
      </c>
      <c r="E26" s="145">
        <v>25</v>
      </c>
      <c r="F26" s="143">
        <v>15</v>
      </c>
      <c r="G26" s="146">
        <v>10</v>
      </c>
      <c r="H26" s="143">
        <v>100</v>
      </c>
      <c r="I26" s="146">
        <v>150</v>
      </c>
      <c r="J26" s="404">
        <v>2</v>
      </c>
      <c r="K26" s="146" t="s">
        <v>666</v>
      </c>
      <c r="L26" s="146"/>
      <c r="M26" s="146"/>
      <c r="N26" s="143" t="s">
        <v>299</v>
      </c>
      <c r="O26" s="146" t="s">
        <v>345</v>
      </c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406"/>
    </row>
    <row r="27" spans="1:40" ht="10.9" customHeight="1">
      <c r="A27" s="433" t="s">
        <v>667</v>
      </c>
      <c r="B27" s="426" t="s">
        <v>668</v>
      </c>
      <c r="C27" s="147">
        <v>3200</v>
      </c>
      <c r="D27" s="148">
        <v>500</v>
      </c>
      <c r="E27" s="149">
        <v>30</v>
      </c>
      <c r="F27" s="147">
        <v>15</v>
      </c>
      <c r="G27" s="150">
        <v>10</v>
      </c>
      <c r="H27" s="147">
        <v>100</v>
      </c>
      <c r="I27" s="150">
        <v>150</v>
      </c>
      <c r="J27" s="151">
        <v>2</v>
      </c>
      <c r="K27" s="150" t="s">
        <v>666</v>
      </c>
      <c r="L27" s="150"/>
      <c r="M27" s="150"/>
      <c r="N27" s="147" t="s">
        <v>299</v>
      </c>
      <c r="O27" s="150" t="s">
        <v>333</v>
      </c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407"/>
    </row>
    <row r="28" spans="1:40" ht="10.9" customHeight="1">
      <c r="A28" s="433" t="s">
        <v>1263</v>
      </c>
      <c r="B28" s="427" t="s">
        <v>669</v>
      </c>
      <c r="C28" s="159">
        <v>400</v>
      </c>
      <c r="D28" s="166">
        <v>100</v>
      </c>
      <c r="E28" s="167">
        <v>8</v>
      </c>
      <c r="F28" s="159">
        <v>15</v>
      </c>
      <c r="G28" s="158">
        <v>1</v>
      </c>
      <c r="H28" s="159">
        <v>100</v>
      </c>
      <c r="I28" s="158">
        <v>150</v>
      </c>
      <c r="J28" s="157">
        <v>1</v>
      </c>
      <c r="K28" s="158" t="s">
        <v>670</v>
      </c>
      <c r="L28" s="158"/>
      <c r="M28" s="158"/>
      <c r="N28" s="159" t="s">
        <v>293</v>
      </c>
      <c r="O28" s="160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408"/>
    </row>
    <row r="29" spans="1:40" ht="10.9" customHeight="1">
      <c r="A29" s="432" t="s">
        <v>671</v>
      </c>
      <c r="B29" s="422" t="s">
        <v>672</v>
      </c>
      <c r="C29" s="128">
        <v>2400</v>
      </c>
      <c r="D29" s="161">
        <v>300</v>
      </c>
      <c r="E29" s="162">
        <v>24</v>
      </c>
      <c r="F29" s="128">
        <v>15</v>
      </c>
      <c r="G29" s="163">
        <v>15</v>
      </c>
      <c r="H29" s="128">
        <v>100</v>
      </c>
      <c r="I29" s="163">
        <v>150</v>
      </c>
      <c r="J29" s="399">
        <v>0</v>
      </c>
      <c r="K29" s="163" t="s">
        <v>673</v>
      </c>
      <c r="L29" s="163"/>
      <c r="M29" s="163"/>
      <c r="N29" s="128" t="s">
        <v>293</v>
      </c>
      <c r="O29" s="400" t="s">
        <v>290</v>
      </c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401"/>
    </row>
    <row r="30" spans="1:40" ht="10.9" customHeight="1">
      <c r="A30" s="433" t="s">
        <v>1263</v>
      </c>
      <c r="B30" s="423" t="s">
        <v>674</v>
      </c>
      <c r="C30" s="135">
        <v>4000</v>
      </c>
      <c r="D30" s="164">
        <v>500</v>
      </c>
      <c r="E30" s="165">
        <v>32</v>
      </c>
      <c r="F30" s="135">
        <v>15</v>
      </c>
      <c r="G30" s="134">
        <v>15</v>
      </c>
      <c r="H30" s="135">
        <v>100</v>
      </c>
      <c r="I30" s="134">
        <v>150</v>
      </c>
      <c r="J30" s="133">
        <v>0</v>
      </c>
      <c r="K30" s="134" t="s">
        <v>675</v>
      </c>
      <c r="L30" s="134"/>
      <c r="M30" s="134"/>
      <c r="N30" s="135" t="s">
        <v>293</v>
      </c>
      <c r="O30" s="136" t="s">
        <v>290</v>
      </c>
      <c r="P30" s="132" t="s">
        <v>297</v>
      </c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402"/>
    </row>
    <row r="31" spans="1:40" ht="10.9" customHeight="1">
      <c r="A31" s="433" t="s">
        <v>639</v>
      </c>
      <c r="B31" s="424" t="s">
        <v>676</v>
      </c>
      <c r="C31" s="137">
        <v>500</v>
      </c>
      <c r="D31" s="138" t="s">
        <v>25</v>
      </c>
      <c r="E31" s="139">
        <v>15</v>
      </c>
      <c r="F31" s="137">
        <v>30</v>
      </c>
      <c r="G31" s="140">
        <v>5</v>
      </c>
      <c r="H31" s="137" t="s">
        <v>622</v>
      </c>
      <c r="I31" s="140">
        <v>150</v>
      </c>
      <c r="J31" s="141">
        <v>1</v>
      </c>
      <c r="K31" s="140" t="s">
        <v>677</v>
      </c>
      <c r="L31" s="140"/>
      <c r="M31" s="140"/>
      <c r="N31" s="137" t="s">
        <v>339</v>
      </c>
      <c r="O31" s="142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403"/>
    </row>
    <row r="32" spans="1:40" ht="10.9" customHeight="1">
      <c r="A32" s="433" t="s">
        <v>678</v>
      </c>
      <c r="B32" s="425" t="s">
        <v>679</v>
      </c>
      <c r="C32" s="143">
        <v>1500</v>
      </c>
      <c r="D32" s="144" t="s">
        <v>25</v>
      </c>
      <c r="E32" s="145">
        <v>25</v>
      </c>
      <c r="F32" s="143">
        <v>30</v>
      </c>
      <c r="G32" s="146">
        <v>10</v>
      </c>
      <c r="H32" s="143" t="s">
        <v>622</v>
      </c>
      <c r="I32" s="146">
        <v>150</v>
      </c>
      <c r="J32" s="404">
        <v>1</v>
      </c>
      <c r="K32" s="146" t="s">
        <v>680</v>
      </c>
      <c r="L32" s="146"/>
      <c r="M32" s="146"/>
      <c r="N32" s="143" t="s">
        <v>339</v>
      </c>
      <c r="O32" s="405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406"/>
    </row>
    <row r="33" spans="1:40" ht="10.9" customHeight="1">
      <c r="A33" s="433" t="s">
        <v>681</v>
      </c>
      <c r="B33" s="426" t="s">
        <v>682</v>
      </c>
      <c r="C33" s="147">
        <v>2500</v>
      </c>
      <c r="D33" s="148" t="s">
        <v>25</v>
      </c>
      <c r="E33" s="149">
        <v>35</v>
      </c>
      <c r="F33" s="147">
        <v>30</v>
      </c>
      <c r="G33" s="150">
        <v>15</v>
      </c>
      <c r="H33" s="147" t="s">
        <v>622</v>
      </c>
      <c r="I33" s="150">
        <v>150</v>
      </c>
      <c r="J33" s="151">
        <v>1</v>
      </c>
      <c r="K33" s="150" t="s">
        <v>683</v>
      </c>
      <c r="L33" s="150"/>
      <c r="M33" s="150"/>
      <c r="N33" s="147" t="s">
        <v>339</v>
      </c>
      <c r="O33" s="152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407"/>
    </row>
    <row r="34" spans="1:40" ht="10.9" customHeight="1">
      <c r="A34" s="433" t="s">
        <v>684</v>
      </c>
      <c r="B34" s="427" t="s">
        <v>685</v>
      </c>
      <c r="C34" s="159">
        <v>2000</v>
      </c>
      <c r="D34" s="166">
        <v>500</v>
      </c>
      <c r="E34" s="167">
        <v>24</v>
      </c>
      <c r="F34" s="159">
        <v>15</v>
      </c>
      <c r="G34" s="158">
        <v>15</v>
      </c>
      <c r="H34" s="159">
        <v>100</v>
      </c>
      <c r="I34" s="158">
        <v>150</v>
      </c>
      <c r="J34" s="157">
        <v>0</v>
      </c>
      <c r="K34" s="158" t="s">
        <v>686</v>
      </c>
      <c r="L34" s="158"/>
      <c r="M34" s="158"/>
      <c r="N34" s="159" t="s">
        <v>282</v>
      </c>
      <c r="O34" s="160" t="s">
        <v>287</v>
      </c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408"/>
    </row>
    <row r="35" spans="1:40" ht="10.9" customHeight="1">
      <c r="A35" s="433" t="s">
        <v>687</v>
      </c>
      <c r="B35" s="422" t="s">
        <v>688</v>
      </c>
      <c r="C35" s="128">
        <v>2500</v>
      </c>
      <c r="D35" s="161">
        <v>500</v>
      </c>
      <c r="E35" s="162">
        <v>28</v>
      </c>
      <c r="F35" s="128">
        <v>15</v>
      </c>
      <c r="G35" s="163">
        <v>15</v>
      </c>
      <c r="H35" s="128">
        <v>100</v>
      </c>
      <c r="I35" s="163">
        <v>150</v>
      </c>
      <c r="J35" s="399">
        <v>0</v>
      </c>
      <c r="K35" s="163" t="s">
        <v>689</v>
      </c>
      <c r="L35" s="163"/>
      <c r="M35" s="163"/>
      <c r="N35" s="128" t="s">
        <v>282</v>
      </c>
      <c r="O35" s="400" t="s">
        <v>287</v>
      </c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401"/>
    </row>
    <row r="36" spans="1:40" ht="10.9" customHeight="1">
      <c r="A36" s="433" t="s">
        <v>690</v>
      </c>
      <c r="B36" s="423" t="s">
        <v>691</v>
      </c>
      <c r="C36" s="135">
        <v>5000</v>
      </c>
      <c r="D36" s="164">
        <v>500</v>
      </c>
      <c r="E36" s="165">
        <v>32</v>
      </c>
      <c r="F36" s="135">
        <v>15</v>
      </c>
      <c r="G36" s="134">
        <v>15</v>
      </c>
      <c r="H36" s="135">
        <v>100</v>
      </c>
      <c r="I36" s="134">
        <v>150</v>
      </c>
      <c r="J36" s="133">
        <v>0</v>
      </c>
      <c r="K36" s="134" t="s">
        <v>692</v>
      </c>
      <c r="L36" s="134"/>
      <c r="M36" s="134"/>
      <c r="N36" s="135" t="s">
        <v>282</v>
      </c>
      <c r="O36" s="136" t="s">
        <v>287</v>
      </c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402"/>
    </row>
    <row r="37" spans="1:40" ht="10.9" customHeight="1">
      <c r="A37" s="433" t="s">
        <v>1263</v>
      </c>
      <c r="B37" s="424" t="s">
        <v>693</v>
      </c>
      <c r="C37" s="137">
        <v>2000</v>
      </c>
      <c r="D37" s="138">
        <v>300</v>
      </c>
      <c r="E37" s="139">
        <v>25</v>
      </c>
      <c r="F37" s="137">
        <v>15</v>
      </c>
      <c r="G37" s="140">
        <v>5</v>
      </c>
      <c r="H37" s="137">
        <v>100</v>
      </c>
      <c r="I37" s="140">
        <v>150</v>
      </c>
      <c r="J37" s="141">
        <v>0</v>
      </c>
      <c r="K37" s="140" t="s">
        <v>694</v>
      </c>
      <c r="L37" s="140"/>
      <c r="M37" s="140"/>
      <c r="N37" s="137" t="s">
        <v>277</v>
      </c>
      <c r="O37" s="142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403"/>
    </row>
    <row r="38" spans="1:40" ht="10.9" customHeight="1">
      <c r="A38" s="432" t="s">
        <v>695</v>
      </c>
      <c r="B38" s="426" t="s">
        <v>696</v>
      </c>
      <c r="C38" s="147">
        <v>4000</v>
      </c>
      <c r="D38" s="148">
        <v>300</v>
      </c>
      <c r="E38" s="149">
        <v>30</v>
      </c>
      <c r="F38" s="147">
        <v>15</v>
      </c>
      <c r="G38" s="150">
        <v>5</v>
      </c>
      <c r="H38" s="147">
        <v>100</v>
      </c>
      <c r="I38" s="150">
        <v>150</v>
      </c>
      <c r="J38" s="151">
        <v>0</v>
      </c>
      <c r="K38" s="150" t="s">
        <v>697</v>
      </c>
      <c r="L38" s="150"/>
      <c r="M38" s="150"/>
      <c r="N38" s="147" t="s">
        <v>277</v>
      </c>
      <c r="O38" s="152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407"/>
    </row>
    <row r="39" spans="1:40" ht="10.9" customHeight="1">
      <c r="A39" s="433" t="s">
        <v>1263</v>
      </c>
      <c r="B39" s="427" t="s">
        <v>698</v>
      </c>
      <c r="C39" s="159">
        <v>2500</v>
      </c>
      <c r="D39" s="166">
        <v>500</v>
      </c>
      <c r="E39" s="167">
        <v>30</v>
      </c>
      <c r="F39" s="159">
        <v>15</v>
      </c>
      <c r="G39" s="158">
        <v>15</v>
      </c>
      <c r="H39" s="159">
        <v>100</v>
      </c>
      <c r="I39" s="158">
        <v>150</v>
      </c>
      <c r="J39" s="157">
        <v>1</v>
      </c>
      <c r="K39" s="158" t="s">
        <v>699</v>
      </c>
      <c r="L39" s="158"/>
      <c r="M39" s="158"/>
      <c r="N39" s="159" t="s">
        <v>279</v>
      </c>
      <c r="O39" s="160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408"/>
    </row>
    <row r="40" spans="1:40" ht="10.9" customHeight="1">
      <c r="A40" s="433" t="s">
        <v>700</v>
      </c>
      <c r="B40" s="423" t="s">
        <v>701</v>
      </c>
      <c r="C40" s="135">
        <v>5000</v>
      </c>
      <c r="D40" s="164">
        <v>500</v>
      </c>
      <c r="E40" s="165">
        <v>35</v>
      </c>
      <c r="F40" s="135">
        <v>15</v>
      </c>
      <c r="G40" s="134">
        <v>15</v>
      </c>
      <c r="H40" s="135">
        <v>100</v>
      </c>
      <c r="I40" s="134">
        <v>150</v>
      </c>
      <c r="J40" s="133">
        <v>1</v>
      </c>
      <c r="K40" s="134" t="s">
        <v>702</v>
      </c>
      <c r="L40" s="134"/>
      <c r="M40" s="134"/>
      <c r="N40" s="135" t="s">
        <v>285</v>
      </c>
      <c r="O40" s="136" t="s">
        <v>299</v>
      </c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402"/>
    </row>
    <row r="41" spans="1:40" ht="10.9" customHeight="1">
      <c r="A41" s="433" t="s">
        <v>703</v>
      </c>
      <c r="B41" s="424" t="s">
        <v>704</v>
      </c>
      <c r="C41" s="137">
        <v>2500</v>
      </c>
      <c r="D41" s="138" t="s">
        <v>25</v>
      </c>
      <c r="E41" s="139">
        <v>12</v>
      </c>
      <c r="F41" s="137">
        <v>30</v>
      </c>
      <c r="G41" s="140">
        <v>1</v>
      </c>
      <c r="H41" s="137">
        <v>150</v>
      </c>
      <c r="I41" s="140">
        <v>100</v>
      </c>
      <c r="J41" s="141">
        <v>3</v>
      </c>
      <c r="K41" s="140" t="s">
        <v>705</v>
      </c>
      <c r="L41" s="140"/>
      <c r="M41" s="140"/>
      <c r="N41" s="137" t="s">
        <v>350</v>
      </c>
      <c r="O41" s="142" t="s">
        <v>349</v>
      </c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403"/>
    </row>
    <row r="42" spans="1:40" ht="10.9" customHeight="1">
      <c r="A42" s="433" t="s">
        <v>706</v>
      </c>
      <c r="B42" s="425" t="s">
        <v>707</v>
      </c>
      <c r="C42" s="143">
        <v>10000</v>
      </c>
      <c r="D42" s="144" t="s">
        <v>25</v>
      </c>
      <c r="E42" s="145">
        <v>24</v>
      </c>
      <c r="F42" s="143">
        <v>30</v>
      </c>
      <c r="G42" s="146">
        <v>10</v>
      </c>
      <c r="H42" s="143">
        <v>150</v>
      </c>
      <c r="I42" s="146">
        <v>100</v>
      </c>
      <c r="J42" s="404">
        <v>3</v>
      </c>
      <c r="K42" s="146" t="s">
        <v>708</v>
      </c>
      <c r="L42" s="146"/>
      <c r="M42" s="146"/>
      <c r="N42" s="143" t="s">
        <v>350</v>
      </c>
      <c r="O42" s="405" t="s">
        <v>709</v>
      </c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406"/>
    </row>
    <row r="43" spans="1:40" ht="10.9" customHeight="1">
      <c r="A43" s="433" t="s">
        <v>710</v>
      </c>
      <c r="B43" s="426" t="s">
        <v>711</v>
      </c>
      <c r="C43" s="147">
        <v>10000</v>
      </c>
      <c r="D43" s="148" t="s">
        <v>25</v>
      </c>
      <c r="E43" s="149">
        <v>18</v>
      </c>
      <c r="F43" s="147">
        <v>30</v>
      </c>
      <c r="G43" s="150">
        <v>5</v>
      </c>
      <c r="H43" s="147">
        <v>150</v>
      </c>
      <c r="I43" s="150">
        <v>100</v>
      </c>
      <c r="J43" s="151">
        <v>3</v>
      </c>
      <c r="K43" s="150" t="s">
        <v>712</v>
      </c>
      <c r="L43" s="150"/>
      <c r="M43" s="150"/>
      <c r="N43" s="147" t="s">
        <v>350</v>
      </c>
      <c r="O43" s="152" t="s">
        <v>709</v>
      </c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407"/>
    </row>
    <row r="44" spans="1:40" ht="10.9" customHeight="1">
      <c r="A44" s="433" t="s">
        <v>1263</v>
      </c>
      <c r="B44" s="427" t="s">
        <v>713</v>
      </c>
      <c r="C44" s="159">
        <v>2000</v>
      </c>
      <c r="D44" s="166" t="s">
        <v>25</v>
      </c>
      <c r="E44" s="167">
        <v>18</v>
      </c>
      <c r="F44" s="159">
        <v>60</v>
      </c>
      <c r="G44" s="158">
        <v>5</v>
      </c>
      <c r="H44" s="159">
        <v>100</v>
      </c>
      <c r="I44" s="158">
        <v>100</v>
      </c>
      <c r="J44" s="157">
        <v>0</v>
      </c>
      <c r="K44" s="158" t="s">
        <v>714</v>
      </c>
      <c r="L44" s="158" t="s">
        <v>158</v>
      </c>
      <c r="M44" s="158"/>
      <c r="N44" s="159" t="s">
        <v>715</v>
      </c>
      <c r="O44" s="160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408"/>
    </row>
    <row r="45" spans="1:40" ht="10.9" customHeight="1">
      <c r="A45" s="432" t="s">
        <v>716</v>
      </c>
      <c r="B45" s="422" t="s">
        <v>717</v>
      </c>
      <c r="C45" s="128">
        <v>4000</v>
      </c>
      <c r="D45" s="161" t="s">
        <v>25</v>
      </c>
      <c r="E45" s="162">
        <v>24</v>
      </c>
      <c r="F45" s="128">
        <v>60</v>
      </c>
      <c r="G45" s="163">
        <v>10</v>
      </c>
      <c r="H45" s="128">
        <v>100</v>
      </c>
      <c r="I45" s="163">
        <v>100</v>
      </c>
      <c r="J45" s="399">
        <v>0</v>
      </c>
      <c r="K45" s="163" t="s">
        <v>718</v>
      </c>
      <c r="L45" s="163" t="s">
        <v>158</v>
      </c>
      <c r="M45" s="163"/>
      <c r="N45" s="128" t="s">
        <v>715</v>
      </c>
      <c r="O45" s="400" t="s">
        <v>719</v>
      </c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401"/>
    </row>
    <row r="46" spans="1:40" ht="10.9" customHeight="1">
      <c r="A46" s="433" t="s">
        <v>1263</v>
      </c>
      <c r="B46" s="423" t="s">
        <v>720</v>
      </c>
      <c r="C46" s="135">
        <v>6000</v>
      </c>
      <c r="D46" s="164" t="s">
        <v>25</v>
      </c>
      <c r="E46" s="165">
        <v>30</v>
      </c>
      <c r="F46" s="135">
        <v>60</v>
      </c>
      <c r="G46" s="134">
        <v>10</v>
      </c>
      <c r="H46" s="135">
        <v>100</v>
      </c>
      <c r="I46" s="134">
        <v>100</v>
      </c>
      <c r="J46" s="133">
        <v>0</v>
      </c>
      <c r="K46" s="134" t="s">
        <v>721</v>
      </c>
      <c r="L46" s="134" t="s">
        <v>158</v>
      </c>
      <c r="M46" s="134"/>
      <c r="N46" s="135" t="s">
        <v>715</v>
      </c>
      <c r="O46" s="136" t="s">
        <v>719</v>
      </c>
      <c r="P46" s="132" t="s">
        <v>722</v>
      </c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402"/>
    </row>
    <row r="47" spans="1:40" ht="10.9" customHeight="1">
      <c r="A47" s="433" t="s">
        <v>631</v>
      </c>
      <c r="B47" s="424" t="s">
        <v>723</v>
      </c>
      <c r="C47" s="137">
        <v>2500</v>
      </c>
      <c r="D47" s="138">
        <v>300</v>
      </c>
      <c r="E47" s="139">
        <v>24</v>
      </c>
      <c r="F47" s="137">
        <v>30</v>
      </c>
      <c r="G47" s="140">
        <v>5</v>
      </c>
      <c r="H47" s="137">
        <v>100</v>
      </c>
      <c r="I47" s="140">
        <v>100</v>
      </c>
      <c r="J47" s="141">
        <v>1</v>
      </c>
      <c r="K47" s="140" t="s">
        <v>724</v>
      </c>
      <c r="L47" s="140"/>
      <c r="M47" s="140"/>
      <c r="N47" s="137" t="s">
        <v>293</v>
      </c>
      <c r="O47" s="142" t="s">
        <v>317</v>
      </c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403"/>
    </row>
    <row r="48" spans="1:40" ht="10.9" customHeight="1">
      <c r="A48" s="433" t="s">
        <v>725</v>
      </c>
      <c r="B48" s="425" t="s">
        <v>726</v>
      </c>
      <c r="C48" s="143">
        <v>5000</v>
      </c>
      <c r="D48" s="144">
        <v>300</v>
      </c>
      <c r="E48" s="145">
        <v>28</v>
      </c>
      <c r="F48" s="143">
        <v>30</v>
      </c>
      <c r="G48" s="146">
        <v>10</v>
      </c>
      <c r="H48" s="143">
        <v>100</v>
      </c>
      <c r="I48" s="146">
        <v>100</v>
      </c>
      <c r="J48" s="404">
        <v>1</v>
      </c>
      <c r="K48" s="146" t="s">
        <v>727</v>
      </c>
      <c r="L48" s="146"/>
      <c r="M48" s="146"/>
      <c r="N48" s="143" t="s">
        <v>293</v>
      </c>
      <c r="O48" s="405" t="s">
        <v>317</v>
      </c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406"/>
    </row>
    <row r="49" spans="1:40" ht="10.9" customHeight="1">
      <c r="A49" s="433" t="s">
        <v>728</v>
      </c>
      <c r="B49" s="426" t="s">
        <v>729</v>
      </c>
      <c r="C49" s="147">
        <v>7500</v>
      </c>
      <c r="D49" s="148">
        <v>300</v>
      </c>
      <c r="E49" s="149">
        <v>32</v>
      </c>
      <c r="F49" s="147">
        <v>30</v>
      </c>
      <c r="G49" s="150">
        <v>15</v>
      </c>
      <c r="H49" s="147">
        <v>100</v>
      </c>
      <c r="I49" s="150">
        <v>100</v>
      </c>
      <c r="J49" s="151">
        <v>1</v>
      </c>
      <c r="K49" s="150" t="s">
        <v>730</v>
      </c>
      <c r="L49" s="150"/>
      <c r="M49" s="150"/>
      <c r="N49" s="147" t="s">
        <v>293</v>
      </c>
      <c r="O49" s="152" t="s">
        <v>317</v>
      </c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407"/>
    </row>
    <row r="50" spans="1:40" ht="10.9" customHeight="1">
      <c r="A50" s="433" t="s">
        <v>731</v>
      </c>
      <c r="B50" s="427" t="s">
        <v>732</v>
      </c>
      <c r="C50" s="159">
        <v>4000</v>
      </c>
      <c r="D50" s="166" t="s">
        <v>25</v>
      </c>
      <c r="E50" s="167">
        <v>25</v>
      </c>
      <c r="F50" s="159">
        <v>30</v>
      </c>
      <c r="G50" s="158">
        <v>5</v>
      </c>
      <c r="H50" s="159">
        <v>100</v>
      </c>
      <c r="I50" s="158">
        <v>100</v>
      </c>
      <c r="J50" s="157">
        <v>1</v>
      </c>
      <c r="K50" s="158" t="s">
        <v>733</v>
      </c>
      <c r="L50" s="158"/>
      <c r="M50" s="158"/>
      <c r="N50" s="159" t="s">
        <v>328</v>
      </c>
      <c r="O50" s="160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408"/>
    </row>
    <row r="51" spans="1:40" ht="10.9" customHeight="1">
      <c r="A51" s="433" t="s">
        <v>734</v>
      </c>
      <c r="B51" s="422" t="s">
        <v>735</v>
      </c>
      <c r="C51" s="128">
        <v>8000</v>
      </c>
      <c r="D51" s="161" t="s">
        <v>25</v>
      </c>
      <c r="E51" s="162">
        <v>30</v>
      </c>
      <c r="F51" s="128">
        <v>30</v>
      </c>
      <c r="G51" s="163">
        <v>10</v>
      </c>
      <c r="H51" s="128">
        <v>100</v>
      </c>
      <c r="I51" s="163">
        <v>100</v>
      </c>
      <c r="J51" s="399">
        <v>1</v>
      </c>
      <c r="K51" s="163" t="s">
        <v>736</v>
      </c>
      <c r="L51" s="163"/>
      <c r="M51" s="163"/>
      <c r="N51" s="128" t="s">
        <v>328</v>
      </c>
      <c r="O51" s="400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401"/>
    </row>
    <row r="52" spans="1:40" ht="10.9" customHeight="1">
      <c r="A52" s="433" t="s">
        <v>1263</v>
      </c>
      <c r="B52" s="423" t="s">
        <v>737</v>
      </c>
      <c r="C52" s="135">
        <v>40000</v>
      </c>
      <c r="D52" s="164">
        <v>5000</v>
      </c>
      <c r="E52" s="165">
        <v>20</v>
      </c>
      <c r="F52" s="135">
        <v>120</v>
      </c>
      <c r="G52" s="134">
        <v>15</v>
      </c>
      <c r="H52" s="135">
        <v>100</v>
      </c>
      <c r="I52" s="134">
        <v>100</v>
      </c>
      <c r="J52" s="133">
        <v>1</v>
      </c>
      <c r="K52" s="134" t="s">
        <v>738</v>
      </c>
      <c r="L52" s="134"/>
      <c r="M52" s="134"/>
      <c r="N52" s="135" t="s">
        <v>328</v>
      </c>
      <c r="O52" s="136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402"/>
    </row>
    <row r="53" spans="1:40" ht="10.9" customHeight="1">
      <c r="A53" s="432" t="s">
        <v>739</v>
      </c>
      <c r="B53" s="428" t="s">
        <v>740</v>
      </c>
      <c r="C53" s="168">
        <v>10000</v>
      </c>
      <c r="D53" s="169" t="s">
        <v>25</v>
      </c>
      <c r="E53" s="170">
        <v>35</v>
      </c>
      <c r="F53" s="168">
        <v>30</v>
      </c>
      <c r="G53" s="171">
        <v>5</v>
      </c>
      <c r="H53" s="168">
        <v>100</v>
      </c>
      <c r="I53" s="171">
        <v>100</v>
      </c>
      <c r="J53" s="172">
        <v>1.5</v>
      </c>
      <c r="K53" s="171" t="s">
        <v>741</v>
      </c>
      <c r="L53" s="171"/>
      <c r="M53" s="171"/>
      <c r="N53" s="168" t="s">
        <v>334</v>
      </c>
      <c r="O53" s="173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409"/>
    </row>
    <row r="54" spans="1:40" ht="10.9" customHeight="1">
      <c r="A54" s="433" t="s">
        <v>1263</v>
      </c>
      <c r="B54" s="427" t="s">
        <v>742</v>
      </c>
      <c r="C54" s="159">
        <v>300</v>
      </c>
      <c r="D54" s="166">
        <v>100</v>
      </c>
      <c r="E54" s="167">
        <v>9</v>
      </c>
      <c r="F54" s="159">
        <v>15</v>
      </c>
      <c r="G54" s="158">
        <v>1</v>
      </c>
      <c r="H54" s="159">
        <v>150</v>
      </c>
      <c r="I54" s="158">
        <v>100</v>
      </c>
      <c r="J54" s="157">
        <v>1</v>
      </c>
      <c r="K54" s="158" t="s">
        <v>743</v>
      </c>
      <c r="L54" s="158"/>
      <c r="M54" s="158"/>
      <c r="N54" s="159" t="s">
        <v>310</v>
      </c>
      <c r="O54" s="160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408"/>
    </row>
    <row r="55" spans="1:40" ht="10.9" customHeight="1">
      <c r="A55" s="433" t="s">
        <v>614</v>
      </c>
      <c r="B55" s="422" t="s">
        <v>744</v>
      </c>
      <c r="C55" s="128">
        <v>900</v>
      </c>
      <c r="D55" s="161">
        <v>300</v>
      </c>
      <c r="E55" s="162">
        <v>18</v>
      </c>
      <c r="F55" s="128">
        <v>15</v>
      </c>
      <c r="G55" s="163">
        <v>15</v>
      </c>
      <c r="H55" s="128">
        <v>150</v>
      </c>
      <c r="I55" s="163">
        <v>100</v>
      </c>
      <c r="J55" s="399">
        <v>1</v>
      </c>
      <c r="K55" s="163" t="s">
        <v>745</v>
      </c>
      <c r="L55" s="163"/>
      <c r="M55" s="163"/>
      <c r="N55" s="128" t="s">
        <v>310</v>
      </c>
      <c r="O55" s="400" t="s">
        <v>318</v>
      </c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401"/>
    </row>
    <row r="56" spans="1:40" ht="10.9" customHeight="1">
      <c r="A56" s="433" t="s">
        <v>746</v>
      </c>
      <c r="B56" s="423" t="s">
        <v>747</v>
      </c>
      <c r="C56" s="129">
        <v>3600</v>
      </c>
      <c r="D56" s="130">
        <v>500</v>
      </c>
      <c r="E56" s="131">
        <v>27</v>
      </c>
      <c r="F56" s="129">
        <v>15</v>
      </c>
      <c r="G56" s="132">
        <v>15</v>
      </c>
      <c r="H56" s="129">
        <v>150</v>
      </c>
      <c r="I56" s="132">
        <v>100</v>
      </c>
      <c r="J56" s="133">
        <v>1</v>
      </c>
      <c r="K56" s="134" t="s">
        <v>748</v>
      </c>
      <c r="L56" s="134"/>
      <c r="M56" s="134"/>
      <c r="N56" s="135" t="s">
        <v>310</v>
      </c>
      <c r="O56" s="136" t="s">
        <v>318</v>
      </c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132"/>
      <c r="AN56" s="402"/>
    </row>
    <row r="57" spans="1:40" ht="10.9" customHeight="1">
      <c r="A57" s="433" t="s">
        <v>76</v>
      </c>
      <c r="B57" s="424" t="s">
        <v>749</v>
      </c>
      <c r="C57" s="137">
        <v>600</v>
      </c>
      <c r="D57" s="138">
        <v>100</v>
      </c>
      <c r="E57" s="139">
        <v>10</v>
      </c>
      <c r="F57" s="137">
        <v>15</v>
      </c>
      <c r="G57" s="140">
        <v>1</v>
      </c>
      <c r="H57" s="137">
        <v>100</v>
      </c>
      <c r="I57" s="140">
        <v>150</v>
      </c>
      <c r="J57" s="141">
        <v>1</v>
      </c>
      <c r="K57" s="140" t="s">
        <v>750</v>
      </c>
      <c r="L57" s="140"/>
      <c r="M57" s="140"/>
      <c r="N57" s="137" t="s">
        <v>316</v>
      </c>
      <c r="O57" s="142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403"/>
    </row>
    <row r="58" spans="1:40" ht="10.9" customHeight="1">
      <c r="A58" s="433" t="s">
        <v>1263</v>
      </c>
      <c r="B58" s="426" t="s">
        <v>751</v>
      </c>
      <c r="C58" s="147">
        <v>3000</v>
      </c>
      <c r="D58" s="148">
        <v>500</v>
      </c>
      <c r="E58" s="149">
        <v>20</v>
      </c>
      <c r="F58" s="147">
        <v>15</v>
      </c>
      <c r="G58" s="150">
        <v>10</v>
      </c>
      <c r="H58" s="147">
        <v>100</v>
      </c>
      <c r="I58" s="150">
        <v>150</v>
      </c>
      <c r="J58" s="151">
        <v>1</v>
      </c>
      <c r="K58" s="150" t="s">
        <v>752</v>
      </c>
      <c r="L58" s="150"/>
      <c r="M58" s="150"/>
      <c r="N58" s="147" t="s">
        <v>277</v>
      </c>
      <c r="O58" s="152" t="s">
        <v>347</v>
      </c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407"/>
    </row>
    <row r="59" spans="1:40" ht="10.9" customHeight="1">
      <c r="A59" s="432" t="s">
        <v>641</v>
      </c>
      <c r="B59" s="427" t="s">
        <v>753</v>
      </c>
      <c r="C59" s="153">
        <v>3000</v>
      </c>
      <c r="D59" s="154">
        <v>1000</v>
      </c>
      <c r="E59" s="155">
        <v>10</v>
      </c>
      <c r="F59" s="153">
        <v>30</v>
      </c>
      <c r="G59" s="156">
        <v>1</v>
      </c>
      <c r="H59" s="153">
        <v>100</v>
      </c>
      <c r="I59" s="156">
        <v>150</v>
      </c>
      <c r="J59" s="157">
        <v>2</v>
      </c>
      <c r="K59" s="158" t="s">
        <v>754</v>
      </c>
      <c r="L59" s="158"/>
      <c r="M59" s="158"/>
      <c r="N59" s="159" t="s">
        <v>338</v>
      </c>
      <c r="O59" s="160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408"/>
    </row>
    <row r="60" spans="1:40" ht="10.9" customHeight="1">
      <c r="A60" s="433" t="s">
        <v>1263</v>
      </c>
      <c r="B60" s="422" t="s">
        <v>755</v>
      </c>
      <c r="C60" s="124">
        <v>9000</v>
      </c>
      <c r="D60" s="125">
        <v>1000</v>
      </c>
      <c r="E60" s="126">
        <v>25</v>
      </c>
      <c r="F60" s="124">
        <v>30</v>
      </c>
      <c r="G60" s="127">
        <v>15</v>
      </c>
      <c r="H60" s="124">
        <v>100</v>
      </c>
      <c r="I60" s="127">
        <v>150</v>
      </c>
      <c r="J60" s="399">
        <v>2</v>
      </c>
      <c r="K60" s="163" t="s">
        <v>756</v>
      </c>
      <c r="L60" s="163"/>
      <c r="M60" s="163"/>
      <c r="N60" s="128" t="s">
        <v>338</v>
      </c>
      <c r="O60" s="400" t="s">
        <v>344</v>
      </c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401"/>
    </row>
    <row r="61" spans="1:40" ht="10.9" customHeight="1">
      <c r="A61" s="433" t="s">
        <v>757</v>
      </c>
      <c r="B61" s="423" t="s">
        <v>758</v>
      </c>
      <c r="C61" s="129">
        <v>18000</v>
      </c>
      <c r="D61" s="130">
        <v>1000</v>
      </c>
      <c r="E61" s="131">
        <v>40</v>
      </c>
      <c r="F61" s="129">
        <v>30</v>
      </c>
      <c r="G61" s="132">
        <v>15</v>
      </c>
      <c r="H61" s="129">
        <v>100</v>
      </c>
      <c r="I61" s="132">
        <v>150</v>
      </c>
      <c r="J61" s="133">
        <v>2</v>
      </c>
      <c r="K61" s="134" t="s">
        <v>759</v>
      </c>
      <c r="L61" s="134"/>
      <c r="M61" s="134"/>
      <c r="N61" s="135" t="s">
        <v>338</v>
      </c>
      <c r="O61" s="136" t="s">
        <v>344</v>
      </c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32"/>
      <c r="AI61" s="132"/>
      <c r="AJ61" s="132"/>
      <c r="AK61" s="132"/>
      <c r="AL61" s="132"/>
      <c r="AM61" s="132"/>
      <c r="AN61" s="402"/>
    </row>
    <row r="62" spans="1:40" ht="10.9" customHeight="1">
      <c r="A62" s="433" t="s">
        <v>760</v>
      </c>
      <c r="B62" s="424" t="s">
        <v>761</v>
      </c>
      <c r="C62" s="137">
        <v>200</v>
      </c>
      <c r="D62" s="138">
        <v>100</v>
      </c>
      <c r="E62" s="139">
        <v>8</v>
      </c>
      <c r="F62" s="137">
        <v>15</v>
      </c>
      <c r="G62" s="140">
        <v>0</v>
      </c>
      <c r="H62" s="137">
        <v>100</v>
      </c>
      <c r="I62" s="140">
        <v>100</v>
      </c>
      <c r="J62" s="141">
        <v>1</v>
      </c>
      <c r="K62" s="140" t="s">
        <v>762</v>
      </c>
      <c r="L62" s="140"/>
      <c r="M62" s="140"/>
      <c r="N62" s="137" t="s">
        <v>290</v>
      </c>
      <c r="O62" s="142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403"/>
    </row>
    <row r="63" spans="1:40" ht="10.9" customHeight="1">
      <c r="A63" s="433" t="s">
        <v>763</v>
      </c>
      <c r="B63" s="425" t="s">
        <v>764</v>
      </c>
      <c r="C63" s="143">
        <v>600</v>
      </c>
      <c r="D63" s="144">
        <v>300</v>
      </c>
      <c r="E63" s="145">
        <v>16</v>
      </c>
      <c r="F63" s="143">
        <v>15</v>
      </c>
      <c r="G63" s="146">
        <v>0</v>
      </c>
      <c r="H63" s="143">
        <v>100</v>
      </c>
      <c r="I63" s="146">
        <v>100</v>
      </c>
      <c r="J63" s="404">
        <v>1</v>
      </c>
      <c r="K63" s="146" t="s">
        <v>765</v>
      </c>
      <c r="L63" s="146"/>
      <c r="M63" s="146"/>
      <c r="N63" s="143" t="s">
        <v>290</v>
      </c>
      <c r="O63" s="405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406"/>
    </row>
    <row r="64" spans="1:40" ht="10.9" customHeight="1">
      <c r="A64" s="433" t="s">
        <v>766</v>
      </c>
      <c r="B64" s="426" t="s">
        <v>76</v>
      </c>
      <c r="C64" s="147">
        <v>1000</v>
      </c>
      <c r="D64" s="148">
        <v>500</v>
      </c>
      <c r="E64" s="149">
        <v>12</v>
      </c>
      <c r="F64" s="147">
        <v>15</v>
      </c>
      <c r="G64" s="150">
        <v>0</v>
      </c>
      <c r="H64" s="147">
        <v>100</v>
      </c>
      <c r="I64" s="150">
        <v>100</v>
      </c>
      <c r="J64" s="151">
        <v>1</v>
      </c>
      <c r="K64" s="150" t="s">
        <v>767</v>
      </c>
      <c r="L64" s="150"/>
      <c r="M64" s="150"/>
      <c r="N64" s="147" t="s">
        <v>290</v>
      </c>
      <c r="O64" s="152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407"/>
    </row>
    <row r="65" spans="1:40" ht="10.9" customHeight="1">
      <c r="A65" s="433" t="s">
        <v>1263</v>
      </c>
      <c r="B65" s="427" t="s">
        <v>768</v>
      </c>
      <c r="C65" s="153">
        <v>1000</v>
      </c>
      <c r="D65" s="154">
        <v>100</v>
      </c>
      <c r="E65" s="155">
        <v>16</v>
      </c>
      <c r="F65" s="153">
        <v>30</v>
      </c>
      <c r="G65" s="156">
        <v>15</v>
      </c>
      <c r="H65" s="153">
        <v>100</v>
      </c>
      <c r="I65" s="156" t="s">
        <v>623</v>
      </c>
      <c r="J65" s="157">
        <v>1</v>
      </c>
      <c r="K65" s="158" t="s">
        <v>769</v>
      </c>
      <c r="L65" s="158"/>
      <c r="M65" s="158"/>
      <c r="N65" s="159" t="s">
        <v>588</v>
      </c>
      <c r="O65" s="160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408"/>
    </row>
    <row r="66" spans="1:40" ht="10.9" customHeight="1">
      <c r="A66" s="432" t="s">
        <v>770</v>
      </c>
      <c r="B66" s="422" t="s">
        <v>771</v>
      </c>
      <c r="C66" s="124">
        <v>1500</v>
      </c>
      <c r="D66" s="125">
        <v>300</v>
      </c>
      <c r="E66" s="126">
        <v>20</v>
      </c>
      <c r="F66" s="124">
        <v>30</v>
      </c>
      <c r="G66" s="127">
        <v>15</v>
      </c>
      <c r="H66" s="124">
        <v>100</v>
      </c>
      <c r="I66" s="127" t="s">
        <v>623</v>
      </c>
      <c r="J66" s="399">
        <v>1</v>
      </c>
      <c r="K66" s="163" t="s">
        <v>772</v>
      </c>
      <c r="L66" s="163"/>
      <c r="M66" s="163"/>
      <c r="N66" s="128" t="s">
        <v>588</v>
      </c>
      <c r="O66" s="400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401"/>
    </row>
    <row r="67" spans="1:40" ht="10.9" customHeight="1">
      <c r="A67" s="433" t="s">
        <v>1263</v>
      </c>
      <c r="B67" s="423" t="s">
        <v>773</v>
      </c>
      <c r="C67" s="129">
        <v>3000</v>
      </c>
      <c r="D67" s="130">
        <v>500</v>
      </c>
      <c r="E67" s="131">
        <v>28</v>
      </c>
      <c r="F67" s="129">
        <v>30</v>
      </c>
      <c r="G67" s="132">
        <v>15</v>
      </c>
      <c r="H67" s="129">
        <v>100</v>
      </c>
      <c r="I67" s="132" t="s">
        <v>623</v>
      </c>
      <c r="J67" s="133">
        <v>1</v>
      </c>
      <c r="K67" s="134" t="s">
        <v>774</v>
      </c>
      <c r="L67" s="134"/>
      <c r="M67" s="134"/>
      <c r="N67" s="135" t="s">
        <v>588</v>
      </c>
      <c r="O67" s="136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402"/>
    </row>
    <row r="68" spans="1:40" ht="10.9" customHeight="1">
      <c r="A68" s="433" t="s">
        <v>775</v>
      </c>
      <c r="B68" s="424" t="s">
        <v>776</v>
      </c>
      <c r="C68" s="137">
        <v>1000</v>
      </c>
      <c r="D68" s="138">
        <v>100</v>
      </c>
      <c r="E68" s="139">
        <v>15</v>
      </c>
      <c r="F68" s="137">
        <v>30</v>
      </c>
      <c r="G68" s="140">
        <v>1</v>
      </c>
      <c r="H68" s="137">
        <v>100</v>
      </c>
      <c r="I68" s="140">
        <v>100</v>
      </c>
      <c r="J68" s="141">
        <v>0</v>
      </c>
      <c r="K68" s="140" t="s">
        <v>777</v>
      </c>
      <c r="L68" s="140"/>
      <c r="M68" s="140"/>
      <c r="N68" s="137" t="s">
        <v>322</v>
      </c>
      <c r="O68" s="142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403"/>
    </row>
    <row r="69" spans="1:40" ht="10.9" customHeight="1">
      <c r="A69" s="433" t="s">
        <v>778</v>
      </c>
      <c r="B69" s="425" t="s">
        <v>779</v>
      </c>
      <c r="C69" s="143">
        <v>2000</v>
      </c>
      <c r="D69" s="144">
        <v>300</v>
      </c>
      <c r="E69" s="145">
        <v>20</v>
      </c>
      <c r="F69" s="143">
        <v>30</v>
      </c>
      <c r="G69" s="146">
        <v>10</v>
      </c>
      <c r="H69" s="143">
        <v>100</v>
      </c>
      <c r="I69" s="146">
        <v>100</v>
      </c>
      <c r="J69" s="404">
        <v>0</v>
      </c>
      <c r="K69" s="146" t="s">
        <v>780</v>
      </c>
      <c r="L69" s="146"/>
      <c r="M69" s="146"/>
      <c r="N69" s="143" t="s">
        <v>343</v>
      </c>
      <c r="O69" s="405" t="s">
        <v>311</v>
      </c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406"/>
    </row>
    <row r="70" spans="1:40" ht="10.9" customHeight="1">
      <c r="A70" s="433" t="s">
        <v>781</v>
      </c>
      <c r="B70" s="426" t="s">
        <v>782</v>
      </c>
      <c r="C70" s="147">
        <v>5000</v>
      </c>
      <c r="D70" s="148">
        <v>500</v>
      </c>
      <c r="E70" s="149">
        <v>25</v>
      </c>
      <c r="F70" s="147">
        <v>30</v>
      </c>
      <c r="G70" s="150">
        <v>15</v>
      </c>
      <c r="H70" s="147">
        <v>100</v>
      </c>
      <c r="I70" s="150">
        <v>100</v>
      </c>
      <c r="J70" s="151">
        <v>0</v>
      </c>
      <c r="K70" s="150" t="s">
        <v>783</v>
      </c>
      <c r="L70" s="150"/>
      <c r="M70" s="150"/>
      <c r="N70" s="147" t="s">
        <v>322</v>
      </c>
      <c r="O70" s="152" t="s">
        <v>583</v>
      </c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407"/>
    </row>
    <row r="71" spans="1:40" ht="10.9" customHeight="1">
      <c r="A71" s="433" t="s">
        <v>784</v>
      </c>
      <c r="B71" s="427" t="s">
        <v>785</v>
      </c>
      <c r="C71" s="153">
        <v>4000</v>
      </c>
      <c r="D71" s="154">
        <v>300</v>
      </c>
      <c r="E71" s="155">
        <v>24</v>
      </c>
      <c r="F71" s="153">
        <v>30</v>
      </c>
      <c r="G71" s="156">
        <v>15</v>
      </c>
      <c r="H71" s="153">
        <v>100</v>
      </c>
      <c r="I71" s="156">
        <v>150</v>
      </c>
      <c r="J71" s="157">
        <v>0</v>
      </c>
      <c r="K71" s="158" t="s">
        <v>786</v>
      </c>
      <c r="L71" s="158"/>
      <c r="M71" s="158"/>
      <c r="N71" s="159" t="s">
        <v>328</v>
      </c>
      <c r="O71" s="160" t="s">
        <v>322</v>
      </c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408"/>
    </row>
    <row r="72" spans="1:40" ht="10.9" customHeight="1">
      <c r="A72" s="433" t="s">
        <v>1263</v>
      </c>
      <c r="B72" s="423" t="s">
        <v>787</v>
      </c>
      <c r="C72" s="129">
        <v>6000</v>
      </c>
      <c r="D72" s="130">
        <v>500</v>
      </c>
      <c r="E72" s="131">
        <v>30</v>
      </c>
      <c r="F72" s="129">
        <v>30</v>
      </c>
      <c r="G72" s="132">
        <v>15</v>
      </c>
      <c r="H72" s="129">
        <v>100</v>
      </c>
      <c r="I72" s="132">
        <v>150</v>
      </c>
      <c r="J72" s="133">
        <v>0</v>
      </c>
      <c r="K72" s="134" t="s">
        <v>788</v>
      </c>
      <c r="L72" s="134"/>
      <c r="M72" s="134"/>
      <c r="N72" s="135" t="s">
        <v>333</v>
      </c>
      <c r="O72" s="136" t="s">
        <v>345</v>
      </c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402"/>
    </row>
    <row r="73" spans="1:40" ht="10.9" customHeight="1">
      <c r="A73" s="432" t="s">
        <v>789</v>
      </c>
      <c r="B73" s="424" t="s">
        <v>790</v>
      </c>
      <c r="C73" s="137">
        <v>500</v>
      </c>
      <c r="D73" s="138">
        <v>300</v>
      </c>
      <c r="E73" s="139">
        <v>20</v>
      </c>
      <c r="F73" s="137">
        <v>15</v>
      </c>
      <c r="G73" s="140">
        <v>10</v>
      </c>
      <c r="H73" s="137" t="s">
        <v>622</v>
      </c>
      <c r="I73" s="140" t="s">
        <v>623</v>
      </c>
      <c r="J73" s="141">
        <v>1</v>
      </c>
      <c r="K73" s="140" t="s">
        <v>791</v>
      </c>
      <c r="L73" s="140"/>
      <c r="M73" s="140"/>
      <c r="N73" s="137" t="s">
        <v>278</v>
      </c>
      <c r="O73" s="142" t="s">
        <v>350</v>
      </c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403"/>
    </row>
    <row r="74" spans="1:40" ht="10.9" customHeight="1">
      <c r="A74" s="433" t="s">
        <v>1263</v>
      </c>
      <c r="B74" s="426" t="s">
        <v>792</v>
      </c>
      <c r="C74" s="147">
        <v>1000</v>
      </c>
      <c r="D74" s="148">
        <v>500</v>
      </c>
      <c r="E74" s="149">
        <v>30</v>
      </c>
      <c r="F74" s="147">
        <v>15</v>
      </c>
      <c r="G74" s="150">
        <v>10</v>
      </c>
      <c r="H74" s="147" t="s">
        <v>622</v>
      </c>
      <c r="I74" s="150" t="s">
        <v>623</v>
      </c>
      <c r="J74" s="151">
        <v>1</v>
      </c>
      <c r="K74" s="150" t="s">
        <v>793</v>
      </c>
      <c r="L74" s="150"/>
      <c r="M74" s="150"/>
      <c r="N74" s="147" t="s">
        <v>283</v>
      </c>
      <c r="O74" s="152" t="s">
        <v>321</v>
      </c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407"/>
    </row>
    <row r="75" spans="1:40" ht="10.9" customHeight="1">
      <c r="A75" s="433" t="s">
        <v>611</v>
      </c>
      <c r="B75" s="427" t="s">
        <v>794</v>
      </c>
      <c r="C75" s="153">
        <v>1600</v>
      </c>
      <c r="D75" s="154">
        <v>300</v>
      </c>
      <c r="E75" s="155">
        <v>24</v>
      </c>
      <c r="F75" s="153">
        <v>0</v>
      </c>
      <c r="G75" s="156">
        <v>10</v>
      </c>
      <c r="H75" s="153">
        <v>100</v>
      </c>
      <c r="I75" s="156">
        <v>150</v>
      </c>
      <c r="J75" s="157">
        <v>0</v>
      </c>
      <c r="K75" s="158" t="s">
        <v>795</v>
      </c>
      <c r="L75" s="158"/>
      <c r="M75" s="158"/>
      <c r="N75" s="159" t="s">
        <v>318</v>
      </c>
      <c r="O75" s="160" t="s">
        <v>315</v>
      </c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  <c r="AD75" s="156"/>
      <c r="AE75" s="156"/>
      <c r="AF75" s="156"/>
      <c r="AG75" s="156"/>
      <c r="AH75" s="156"/>
      <c r="AI75" s="156"/>
      <c r="AJ75" s="156"/>
      <c r="AK75" s="156"/>
      <c r="AL75" s="156"/>
      <c r="AM75" s="156"/>
      <c r="AN75" s="408"/>
    </row>
    <row r="76" spans="1:40" ht="10.9" customHeight="1">
      <c r="A76" s="433" t="s">
        <v>621</v>
      </c>
      <c r="B76" s="423" t="s">
        <v>796</v>
      </c>
      <c r="C76" s="129">
        <v>2400</v>
      </c>
      <c r="D76" s="130">
        <v>500</v>
      </c>
      <c r="E76" s="131">
        <v>28</v>
      </c>
      <c r="F76" s="129">
        <v>0</v>
      </c>
      <c r="G76" s="132">
        <v>10</v>
      </c>
      <c r="H76" s="129">
        <v>100</v>
      </c>
      <c r="I76" s="132">
        <v>150</v>
      </c>
      <c r="J76" s="133">
        <v>0</v>
      </c>
      <c r="K76" s="134" t="s">
        <v>797</v>
      </c>
      <c r="L76" s="134"/>
      <c r="M76" s="134"/>
      <c r="N76" s="135" t="s">
        <v>356</v>
      </c>
      <c r="O76" s="136" t="s">
        <v>315</v>
      </c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402"/>
    </row>
    <row r="77" spans="1:40" ht="10.9" customHeight="1">
      <c r="A77" s="433" t="s">
        <v>798</v>
      </c>
      <c r="B77" s="424" t="s">
        <v>799</v>
      </c>
      <c r="C77" s="137">
        <v>5000</v>
      </c>
      <c r="D77" s="138">
        <v>1000</v>
      </c>
      <c r="E77" s="139">
        <v>30</v>
      </c>
      <c r="F77" s="137">
        <v>60</v>
      </c>
      <c r="G77" s="140">
        <v>0</v>
      </c>
      <c r="H77" s="137">
        <v>100</v>
      </c>
      <c r="I77" s="140">
        <v>150</v>
      </c>
      <c r="J77" s="141">
        <v>0</v>
      </c>
      <c r="K77" s="140" t="s">
        <v>800</v>
      </c>
      <c r="L77" s="140"/>
      <c r="M77" s="140"/>
      <c r="N77" s="137" t="s">
        <v>25</v>
      </c>
      <c r="O77" s="142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403"/>
    </row>
    <row r="78" spans="1:40" ht="10.9" customHeight="1">
      <c r="A78" s="433" t="s">
        <v>801</v>
      </c>
      <c r="B78" s="426" t="s">
        <v>802</v>
      </c>
      <c r="C78" s="147">
        <v>10000</v>
      </c>
      <c r="D78" s="148">
        <v>1500</v>
      </c>
      <c r="E78" s="149">
        <v>40</v>
      </c>
      <c r="F78" s="147">
        <v>60</v>
      </c>
      <c r="G78" s="150">
        <v>0</v>
      </c>
      <c r="H78" s="147">
        <v>100</v>
      </c>
      <c r="I78" s="150">
        <v>150</v>
      </c>
      <c r="J78" s="151">
        <v>1</v>
      </c>
      <c r="K78" s="150" t="s">
        <v>803</v>
      </c>
      <c r="L78" s="150"/>
      <c r="M78" s="150"/>
      <c r="N78" s="147" t="s">
        <v>297</v>
      </c>
      <c r="O78" s="152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407"/>
    </row>
    <row r="79" spans="1:40" ht="10.9" customHeight="1">
      <c r="A79" s="433" t="s">
        <v>1263</v>
      </c>
      <c r="B79" s="427" t="s">
        <v>610</v>
      </c>
      <c r="C79" s="153">
        <v>75</v>
      </c>
      <c r="D79" s="154" t="s">
        <v>25</v>
      </c>
      <c r="E79" s="155">
        <v>6</v>
      </c>
      <c r="F79" s="153">
        <v>15</v>
      </c>
      <c r="G79" s="156">
        <v>0</v>
      </c>
      <c r="H79" s="153">
        <v>100</v>
      </c>
      <c r="I79" s="156">
        <v>100</v>
      </c>
      <c r="J79" s="157">
        <v>3</v>
      </c>
      <c r="K79" s="158" t="s">
        <v>804</v>
      </c>
      <c r="L79" s="158"/>
      <c r="M79" s="158"/>
      <c r="N79" s="159" t="s">
        <v>25</v>
      </c>
      <c r="O79" s="160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56"/>
      <c r="AE79" s="156"/>
      <c r="AF79" s="156"/>
      <c r="AG79" s="156"/>
      <c r="AH79" s="156"/>
      <c r="AI79" s="156"/>
      <c r="AJ79" s="156"/>
      <c r="AK79" s="156"/>
      <c r="AL79" s="156"/>
      <c r="AM79" s="156"/>
      <c r="AN79" s="408"/>
    </row>
    <row r="80" spans="1:40" ht="10.9" customHeight="1">
      <c r="A80" s="432" t="s">
        <v>805</v>
      </c>
      <c r="B80" s="422" t="s">
        <v>806</v>
      </c>
      <c r="C80" s="124">
        <v>750</v>
      </c>
      <c r="D80" s="125" t="s">
        <v>25</v>
      </c>
      <c r="E80" s="126">
        <v>12</v>
      </c>
      <c r="F80" s="124">
        <v>15</v>
      </c>
      <c r="G80" s="127">
        <v>0</v>
      </c>
      <c r="H80" s="124">
        <v>100</v>
      </c>
      <c r="I80" s="127">
        <v>100</v>
      </c>
      <c r="J80" s="399">
        <v>3</v>
      </c>
      <c r="K80" s="163" t="s">
        <v>807</v>
      </c>
      <c r="L80" s="163"/>
      <c r="M80" s="163"/>
      <c r="N80" s="128" t="s">
        <v>25</v>
      </c>
      <c r="O80" s="400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401"/>
    </row>
    <row r="81" spans="1:40" ht="10.9" customHeight="1">
      <c r="A81" s="433" t="s">
        <v>1263</v>
      </c>
      <c r="B81" s="422" t="s">
        <v>808</v>
      </c>
      <c r="C81" s="124">
        <v>1000</v>
      </c>
      <c r="D81" s="125" t="s">
        <v>25</v>
      </c>
      <c r="E81" s="126">
        <v>18</v>
      </c>
      <c r="F81" s="124">
        <v>15</v>
      </c>
      <c r="G81" s="127">
        <v>0</v>
      </c>
      <c r="H81" s="124">
        <v>100</v>
      </c>
      <c r="I81" s="127">
        <v>100</v>
      </c>
      <c r="J81" s="399">
        <v>3</v>
      </c>
      <c r="K81" s="163" t="s">
        <v>809</v>
      </c>
      <c r="L81" s="163"/>
      <c r="M81" s="163"/>
      <c r="N81" s="128" t="s">
        <v>25</v>
      </c>
      <c r="O81" s="400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401"/>
    </row>
    <row r="82" spans="1:40" ht="10.9" customHeight="1">
      <c r="A82" s="433" t="s">
        <v>742</v>
      </c>
      <c r="B82" s="423" t="s">
        <v>810</v>
      </c>
      <c r="C82" s="129">
        <v>5000</v>
      </c>
      <c r="D82" s="130" t="s">
        <v>25</v>
      </c>
      <c r="E82" s="131">
        <v>27</v>
      </c>
      <c r="F82" s="129">
        <v>15</v>
      </c>
      <c r="G82" s="132">
        <v>0</v>
      </c>
      <c r="H82" s="129">
        <v>100</v>
      </c>
      <c r="I82" s="132">
        <v>100</v>
      </c>
      <c r="J82" s="133">
        <v>3</v>
      </c>
      <c r="K82" s="134" t="s">
        <v>811</v>
      </c>
      <c r="L82" s="134"/>
      <c r="M82" s="134"/>
      <c r="N82" s="135" t="s">
        <v>25</v>
      </c>
      <c r="O82" s="136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  <c r="AM82" s="132"/>
      <c r="AN82" s="402"/>
    </row>
    <row r="83" spans="1:40" ht="10.9" customHeight="1">
      <c r="A83" s="433" t="s">
        <v>812</v>
      </c>
      <c r="B83" s="424" t="s">
        <v>728</v>
      </c>
      <c r="C83" s="137">
        <v>200</v>
      </c>
      <c r="D83" s="138" t="s">
        <v>25</v>
      </c>
      <c r="E83" s="139">
        <v>6</v>
      </c>
      <c r="F83" s="137">
        <v>15</v>
      </c>
      <c r="G83" s="140">
        <v>1</v>
      </c>
      <c r="H83" s="137">
        <v>100</v>
      </c>
      <c r="I83" s="140">
        <v>100</v>
      </c>
      <c r="J83" s="141">
        <v>3</v>
      </c>
      <c r="K83" s="140" t="s">
        <v>813</v>
      </c>
      <c r="L83" s="140"/>
      <c r="M83" s="140"/>
      <c r="N83" s="137" t="s">
        <v>355</v>
      </c>
      <c r="O83" s="142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403"/>
    </row>
    <row r="84" spans="1:40" ht="10.9" customHeight="1">
      <c r="A84" s="433" t="s">
        <v>814</v>
      </c>
      <c r="B84" s="425" t="s">
        <v>681</v>
      </c>
      <c r="C84" s="143">
        <v>400</v>
      </c>
      <c r="D84" s="144" t="s">
        <v>25</v>
      </c>
      <c r="E84" s="145">
        <v>9</v>
      </c>
      <c r="F84" s="143">
        <v>15</v>
      </c>
      <c r="G84" s="146">
        <v>0</v>
      </c>
      <c r="H84" s="143">
        <v>100</v>
      </c>
      <c r="I84" s="146">
        <v>100</v>
      </c>
      <c r="J84" s="404">
        <v>3</v>
      </c>
      <c r="K84" s="146" t="s">
        <v>815</v>
      </c>
      <c r="L84" s="146"/>
      <c r="M84" s="146"/>
      <c r="N84" s="143" t="s">
        <v>25</v>
      </c>
      <c r="O84" s="405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406"/>
    </row>
    <row r="85" spans="1:40" ht="10.9" customHeight="1">
      <c r="A85" s="433" t="s">
        <v>669</v>
      </c>
      <c r="B85" s="426" t="s">
        <v>816</v>
      </c>
      <c r="C85" s="147">
        <v>6000</v>
      </c>
      <c r="D85" s="148" t="s">
        <v>25</v>
      </c>
      <c r="E85" s="149">
        <v>30</v>
      </c>
      <c r="F85" s="147">
        <v>15</v>
      </c>
      <c r="G85" s="150">
        <v>5</v>
      </c>
      <c r="H85" s="147">
        <v>100</v>
      </c>
      <c r="I85" s="150">
        <v>100</v>
      </c>
      <c r="J85" s="151">
        <v>3</v>
      </c>
      <c r="K85" s="150" t="s">
        <v>817</v>
      </c>
      <c r="L85" s="150"/>
      <c r="M85" s="150"/>
      <c r="N85" s="147" t="s">
        <v>355</v>
      </c>
      <c r="O85" s="152" t="s">
        <v>332</v>
      </c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407"/>
    </row>
    <row r="86" spans="1:40" ht="10.9" customHeight="1">
      <c r="A86" s="433" t="s">
        <v>761</v>
      </c>
      <c r="B86" s="427" t="s">
        <v>725</v>
      </c>
      <c r="C86" s="153">
        <v>75</v>
      </c>
      <c r="D86" s="154" t="s">
        <v>25</v>
      </c>
      <c r="E86" s="155">
        <v>5</v>
      </c>
      <c r="F86" s="153">
        <v>30</v>
      </c>
      <c r="G86" s="156">
        <v>0</v>
      </c>
      <c r="H86" s="153">
        <v>100</v>
      </c>
      <c r="I86" s="156">
        <v>100</v>
      </c>
      <c r="J86" s="157">
        <v>1</v>
      </c>
      <c r="K86" s="158" t="s">
        <v>818</v>
      </c>
      <c r="L86" s="158"/>
      <c r="M86" s="158"/>
      <c r="N86" s="159" t="s">
        <v>25</v>
      </c>
      <c r="O86" s="160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408"/>
    </row>
    <row r="87" spans="1:40" ht="10.9" customHeight="1">
      <c r="A87" s="433" t="s">
        <v>608</v>
      </c>
      <c r="B87" s="422" t="s">
        <v>819</v>
      </c>
      <c r="C87" s="124">
        <v>400</v>
      </c>
      <c r="D87" s="125" t="s">
        <v>25</v>
      </c>
      <c r="E87" s="126">
        <v>10</v>
      </c>
      <c r="F87" s="124">
        <v>30</v>
      </c>
      <c r="G87" s="127">
        <v>0</v>
      </c>
      <c r="H87" s="124">
        <v>100</v>
      </c>
      <c r="I87" s="127">
        <v>100</v>
      </c>
      <c r="J87" s="399">
        <v>1</v>
      </c>
      <c r="K87" s="163" t="s">
        <v>820</v>
      </c>
      <c r="L87" s="163"/>
      <c r="M87" s="163"/>
      <c r="N87" s="128" t="s">
        <v>25</v>
      </c>
      <c r="O87" s="400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401"/>
    </row>
    <row r="88" spans="1:40" ht="10.9" customHeight="1">
      <c r="A88" s="433" t="s">
        <v>749</v>
      </c>
      <c r="B88" s="423" t="s">
        <v>821</v>
      </c>
      <c r="C88" s="129">
        <v>750</v>
      </c>
      <c r="D88" s="130" t="s">
        <v>25</v>
      </c>
      <c r="E88" s="131">
        <v>15</v>
      </c>
      <c r="F88" s="129">
        <v>30</v>
      </c>
      <c r="G88" s="132">
        <v>0</v>
      </c>
      <c r="H88" s="129">
        <v>100</v>
      </c>
      <c r="I88" s="132">
        <v>100</v>
      </c>
      <c r="J88" s="133">
        <v>1</v>
      </c>
      <c r="K88" s="134" t="s">
        <v>822</v>
      </c>
      <c r="L88" s="134"/>
      <c r="M88" s="134"/>
      <c r="N88" s="135" t="s">
        <v>25</v>
      </c>
      <c r="O88" s="136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402"/>
    </row>
    <row r="89" spans="1:40" ht="10.9" customHeight="1">
      <c r="A89" s="433" t="s">
        <v>823</v>
      </c>
      <c r="B89" s="424" t="s">
        <v>627</v>
      </c>
      <c r="C89" s="137">
        <v>50</v>
      </c>
      <c r="D89" s="138" t="s">
        <v>25</v>
      </c>
      <c r="E89" s="139">
        <v>5</v>
      </c>
      <c r="F89" s="137">
        <v>15</v>
      </c>
      <c r="G89" s="140">
        <v>15</v>
      </c>
      <c r="H89" s="137">
        <v>100</v>
      </c>
      <c r="I89" s="140">
        <v>100</v>
      </c>
      <c r="J89" s="141">
        <v>2</v>
      </c>
      <c r="K89" s="140" t="s">
        <v>824</v>
      </c>
      <c r="L89" s="140"/>
      <c r="M89" s="140"/>
      <c r="N89" s="137" t="s">
        <v>335</v>
      </c>
      <c r="O89" s="142" t="s">
        <v>328</v>
      </c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403"/>
    </row>
    <row r="90" spans="1:40" ht="10.9" customHeight="1">
      <c r="A90" s="433" t="s">
        <v>1263</v>
      </c>
      <c r="B90" s="425" t="s">
        <v>775</v>
      </c>
      <c r="C90" s="143">
        <v>200</v>
      </c>
      <c r="D90" s="144" t="s">
        <v>25</v>
      </c>
      <c r="E90" s="145">
        <v>10</v>
      </c>
      <c r="F90" s="143">
        <v>15</v>
      </c>
      <c r="G90" s="146">
        <v>0</v>
      </c>
      <c r="H90" s="143">
        <v>100</v>
      </c>
      <c r="I90" s="146">
        <v>100</v>
      </c>
      <c r="J90" s="404">
        <v>2</v>
      </c>
      <c r="K90" s="146" t="s">
        <v>825</v>
      </c>
      <c r="L90" s="146"/>
      <c r="M90" s="146"/>
      <c r="N90" s="143" t="s">
        <v>335</v>
      </c>
      <c r="O90" s="405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406"/>
    </row>
    <row r="91" spans="1:40" ht="10.9" customHeight="1">
      <c r="A91" s="432" t="s">
        <v>826</v>
      </c>
      <c r="B91" s="426" t="s">
        <v>827</v>
      </c>
      <c r="C91" s="147">
        <v>1000</v>
      </c>
      <c r="D91" s="148" t="s">
        <v>25</v>
      </c>
      <c r="E91" s="149">
        <v>20</v>
      </c>
      <c r="F91" s="147">
        <v>15</v>
      </c>
      <c r="G91" s="150">
        <v>10</v>
      </c>
      <c r="H91" s="147">
        <v>100</v>
      </c>
      <c r="I91" s="150">
        <v>100</v>
      </c>
      <c r="J91" s="151">
        <v>2</v>
      </c>
      <c r="K91" s="150" t="s">
        <v>828</v>
      </c>
      <c r="L91" s="150"/>
      <c r="M91" s="150"/>
      <c r="N91" s="147" t="s">
        <v>335</v>
      </c>
      <c r="O91" s="152" t="s">
        <v>328</v>
      </c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407"/>
    </row>
    <row r="92" spans="1:40" ht="10.9" customHeight="1">
      <c r="A92" s="433" t="s">
        <v>1263</v>
      </c>
      <c r="B92" s="427" t="s">
        <v>630</v>
      </c>
      <c r="C92" s="153">
        <v>50</v>
      </c>
      <c r="D92" s="154" t="s">
        <v>25</v>
      </c>
      <c r="E92" s="155">
        <v>6</v>
      </c>
      <c r="F92" s="153">
        <v>15</v>
      </c>
      <c r="G92" s="156">
        <v>1</v>
      </c>
      <c r="H92" s="153">
        <v>100</v>
      </c>
      <c r="I92" s="156">
        <v>150</v>
      </c>
      <c r="J92" s="157">
        <v>1</v>
      </c>
      <c r="K92" s="158" t="s">
        <v>829</v>
      </c>
      <c r="L92" s="158"/>
      <c r="M92" s="158"/>
      <c r="N92" s="159" t="s">
        <v>346</v>
      </c>
      <c r="O92" s="160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408"/>
    </row>
    <row r="93" spans="1:40" ht="10.9" customHeight="1">
      <c r="A93" s="433" t="s">
        <v>830</v>
      </c>
      <c r="B93" s="422" t="s">
        <v>684</v>
      </c>
      <c r="C93" s="124">
        <v>150</v>
      </c>
      <c r="D93" s="125" t="s">
        <v>25</v>
      </c>
      <c r="E93" s="126">
        <v>9</v>
      </c>
      <c r="F93" s="124">
        <v>15</v>
      </c>
      <c r="G93" s="127">
        <v>1</v>
      </c>
      <c r="H93" s="124">
        <v>100</v>
      </c>
      <c r="I93" s="127">
        <v>150</v>
      </c>
      <c r="J93" s="399">
        <v>1</v>
      </c>
      <c r="K93" s="163" t="s">
        <v>831</v>
      </c>
      <c r="L93" s="163"/>
      <c r="M93" s="163"/>
      <c r="N93" s="128" t="s">
        <v>346</v>
      </c>
      <c r="O93" s="400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7"/>
      <c r="AA93" s="127"/>
      <c r="AB93" s="127"/>
      <c r="AC93" s="127"/>
      <c r="AD93" s="127"/>
      <c r="AE93" s="127"/>
      <c r="AF93" s="127"/>
      <c r="AG93" s="127"/>
      <c r="AH93" s="127"/>
      <c r="AI93" s="127"/>
      <c r="AJ93" s="127"/>
      <c r="AK93" s="127"/>
      <c r="AL93" s="127"/>
      <c r="AM93" s="127"/>
      <c r="AN93" s="401"/>
    </row>
    <row r="94" spans="1:40" ht="10.9" customHeight="1">
      <c r="A94" s="433" t="s">
        <v>832</v>
      </c>
      <c r="B94" s="423" t="s">
        <v>341</v>
      </c>
      <c r="C94" s="129">
        <v>1500</v>
      </c>
      <c r="D94" s="130" t="s">
        <v>25</v>
      </c>
      <c r="E94" s="131">
        <v>24</v>
      </c>
      <c r="F94" s="129">
        <v>15</v>
      </c>
      <c r="G94" s="132">
        <v>10</v>
      </c>
      <c r="H94" s="129">
        <v>100</v>
      </c>
      <c r="I94" s="132">
        <v>150</v>
      </c>
      <c r="J94" s="133">
        <v>0</v>
      </c>
      <c r="K94" s="134" t="s">
        <v>833</v>
      </c>
      <c r="L94" s="134"/>
      <c r="M94" s="134"/>
      <c r="N94" s="135" t="s">
        <v>346</v>
      </c>
      <c r="O94" s="136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402"/>
    </row>
    <row r="95" spans="1:40" ht="10.9" customHeight="1">
      <c r="A95" s="433" t="s">
        <v>1263</v>
      </c>
      <c r="B95" s="424" t="s">
        <v>633</v>
      </c>
      <c r="C95" s="137">
        <v>100</v>
      </c>
      <c r="D95" s="138" t="s">
        <v>25</v>
      </c>
      <c r="E95" s="139">
        <v>6</v>
      </c>
      <c r="F95" s="137">
        <v>15</v>
      </c>
      <c r="G95" s="140">
        <v>1</v>
      </c>
      <c r="H95" s="137">
        <v>100</v>
      </c>
      <c r="I95" s="140">
        <v>100</v>
      </c>
      <c r="J95" s="141">
        <v>2</v>
      </c>
      <c r="K95" s="140" t="s">
        <v>834</v>
      </c>
      <c r="L95" s="140"/>
      <c r="M95" s="140"/>
      <c r="N95" s="137" t="s">
        <v>322</v>
      </c>
      <c r="O95" s="142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403"/>
    </row>
    <row r="96" spans="1:40" ht="10.9" customHeight="1">
      <c r="A96" s="432" t="s">
        <v>835</v>
      </c>
      <c r="B96" s="426" t="s">
        <v>757</v>
      </c>
      <c r="C96" s="147">
        <v>200</v>
      </c>
      <c r="D96" s="148" t="s">
        <v>25</v>
      </c>
      <c r="E96" s="149">
        <v>9</v>
      </c>
      <c r="F96" s="147">
        <v>15</v>
      </c>
      <c r="G96" s="150">
        <v>1</v>
      </c>
      <c r="H96" s="147">
        <v>100</v>
      </c>
      <c r="I96" s="150">
        <v>100</v>
      </c>
      <c r="J96" s="151">
        <v>2</v>
      </c>
      <c r="K96" s="150" t="s">
        <v>836</v>
      </c>
      <c r="L96" s="150"/>
      <c r="M96" s="150"/>
      <c r="N96" s="147" t="s">
        <v>333</v>
      </c>
      <c r="O96" s="152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407"/>
    </row>
    <row r="97" spans="1:40" ht="10.9" customHeight="1">
      <c r="A97" s="433" t="s">
        <v>1263</v>
      </c>
      <c r="B97" s="427" t="s">
        <v>636</v>
      </c>
      <c r="C97" s="159">
        <v>50</v>
      </c>
      <c r="D97" s="166" t="s">
        <v>25</v>
      </c>
      <c r="E97" s="167">
        <v>5</v>
      </c>
      <c r="F97" s="159">
        <v>30</v>
      </c>
      <c r="G97" s="158">
        <v>0</v>
      </c>
      <c r="H97" s="159">
        <v>100</v>
      </c>
      <c r="I97" s="158">
        <v>150</v>
      </c>
      <c r="J97" s="157">
        <v>0</v>
      </c>
      <c r="K97" s="158" t="s">
        <v>837</v>
      </c>
      <c r="L97" s="158"/>
      <c r="M97" s="158"/>
      <c r="N97" s="174" t="s">
        <v>25</v>
      </c>
      <c r="O97" s="160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408"/>
    </row>
    <row r="98" spans="1:40" ht="10.9" customHeight="1">
      <c r="A98" s="433" t="s">
        <v>838</v>
      </c>
      <c r="B98" s="423" t="s">
        <v>839</v>
      </c>
      <c r="C98" s="135">
        <v>500</v>
      </c>
      <c r="D98" s="164" t="s">
        <v>25</v>
      </c>
      <c r="E98" s="165">
        <v>15</v>
      </c>
      <c r="F98" s="135">
        <v>30</v>
      </c>
      <c r="G98" s="134">
        <v>0</v>
      </c>
      <c r="H98" s="135">
        <v>100</v>
      </c>
      <c r="I98" s="134">
        <v>150</v>
      </c>
      <c r="J98" s="133">
        <v>1</v>
      </c>
      <c r="K98" s="134" t="s">
        <v>840</v>
      </c>
      <c r="L98" s="134"/>
      <c r="M98" s="134"/>
      <c r="N98" s="135" t="s">
        <v>25</v>
      </c>
      <c r="O98" s="136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402"/>
    </row>
    <row r="99" spans="1:40" ht="10.9" customHeight="1">
      <c r="A99" s="433" t="s">
        <v>841</v>
      </c>
      <c r="B99" s="424" t="s">
        <v>646</v>
      </c>
      <c r="C99" s="137">
        <v>50</v>
      </c>
      <c r="D99" s="138" t="s">
        <v>25</v>
      </c>
      <c r="E99" s="139">
        <v>6</v>
      </c>
      <c r="F99" s="137">
        <v>15</v>
      </c>
      <c r="G99" s="140">
        <v>0</v>
      </c>
      <c r="H99" s="137">
        <v>100</v>
      </c>
      <c r="I99" s="140">
        <v>100</v>
      </c>
      <c r="J99" s="141">
        <v>3</v>
      </c>
      <c r="K99" s="140" t="s">
        <v>842</v>
      </c>
      <c r="L99" s="140"/>
      <c r="M99" s="140"/>
      <c r="N99" s="137" t="s">
        <v>25</v>
      </c>
      <c r="O99" s="142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403"/>
    </row>
    <row r="100" spans="1:40" ht="10.9" customHeight="1">
      <c r="A100" s="433" t="s">
        <v>843</v>
      </c>
      <c r="B100" s="426" t="s">
        <v>844</v>
      </c>
      <c r="C100" s="147">
        <v>250</v>
      </c>
      <c r="D100" s="148" t="s">
        <v>25</v>
      </c>
      <c r="E100" s="149">
        <v>12</v>
      </c>
      <c r="F100" s="147">
        <v>15</v>
      </c>
      <c r="G100" s="150">
        <v>0</v>
      </c>
      <c r="H100" s="147">
        <v>100</v>
      </c>
      <c r="I100" s="150">
        <v>100</v>
      </c>
      <c r="J100" s="151">
        <v>3</v>
      </c>
      <c r="K100" s="150" t="s">
        <v>845</v>
      </c>
      <c r="L100" s="150"/>
      <c r="M100" s="150"/>
      <c r="N100" s="147" t="s">
        <v>25</v>
      </c>
      <c r="O100" s="152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407"/>
    </row>
    <row r="101" spans="1:40" ht="10.9" customHeight="1">
      <c r="A101" s="433" t="s">
        <v>1263</v>
      </c>
      <c r="B101" s="427" t="s">
        <v>649</v>
      </c>
      <c r="C101" s="153">
        <v>100</v>
      </c>
      <c r="D101" s="154" t="s">
        <v>25</v>
      </c>
      <c r="E101" s="155">
        <v>7</v>
      </c>
      <c r="F101" s="153">
        <v>30</v>
      </c>
      <c r="G101" s="156">
        <v>1</v>
      </c>
      <c r="H101" s="153">
        <v>100</v>
      </c>
      <c r="I101" s="156">
        <v>150</v>
      </c>
      <c r="J101" s="157">
        <v>1</v>
      </c>
      <c r="K101" s="158" t="s">
        <v>846</v>
      </c>
      <c r="L101" s="158"/>
      <c r="M101" s="158"/>
      <c r="N101" s="159" t="s">
        <v>350</v>
      </c>
      <c r="O101" s="160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56"/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408"/>
    </row>
    <row r="102" spans="1:40" ht="10.9" customHeight="1">
      <c r="A102" s="432" t="s">
        <v>847</v>
      </c>
      <c r="B102" s="423" t="s">
        <v>848</v>
      </c>
      <c r="C102" s="129">
        <v>500</v>
      </c>
      <c r="D102" s="130" t="s">
        <v>25</v>
      </c>
      <c r="E102" s="131">
        <v>14</v>
      </c>
      <c r="F102" s="129">
        <v>30</v>
      </c>
      <c r="G102" s="132">
        <v>10</v>
      </c>
      <c r="H102" s="124">
        <v>100</v>
      </c>
      <c r="I102" s="127">
        <v>150</v>
      </c>
      <c r="J102" s="399">
        <v>1</v>
      </c>
      <c r="K102" s="163" t="s">
        <v>849</v>
      </c>
      <c r="L102" s="163"/>
      <c r="M102" s="163"/>
      <c r="N102" s="135" t="s">
        <v>350</v>
      </c>
      <c r="O102" s="136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402"/>
    </row>
    <row r="103" spans="1:40" ht="10.9" customHeight="1">
      <c r="A103" s="433" t="s">
        <v>1263</v>
      </c>
      <c r="B103" s="424" t="s">
        <v>652</v>
      </c>
      <c r="C103" s="137">
        <v>100</v>
      </c>
      <c r="D103" s="138" t="s">
        <v>25</v>
      </c>
      <c r="E103" s="139">
        <v>6</v>
      </c>
      <c r="F103" s="137">
        <v>0</v>
      </c>
      <c r="G103" s="140">
        <v>0</v>
      </c>
      <c r="H103" s="482">
        <v>100</v>
      </c>
      <c r="I103" s="483">
        <v>100</v>
      </c>
      <c r="J103" s="484">
        <v>0</v>
      </c>
      <c r="K103" s="483" t="s">
        <v>850</v>
      </c>
      <c r="L103" s="483"/>
      <c r="M103" s="485"/>
      <c r="N103" s="140" t="s">
        <v>25</v>
      </c>
      <c r="O103" s="142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  <c r="AM103" s="140"/>
      <c r="AN103" s="403"/>
    </row>
    <row r="104" spans="1:40" ht="10.9" customHeight="1">
      <c r="A104" s="433" t="s">
        <v>616</v>
      </c>
      <c r="B104" s="426" t="s">
        <v>851</v>
      </c>
      <c r="C104" s="147">
        <v>1000</v>
      </c>
      <c r="D104" s="148" t="s">
        <v>25</v>
      </c>
      <c r="E104" s="149">
        <v>18</v>
      </c>
      <c r="F104" s="147">
        <v>0</v>
      </c>
      <c r="G104" s="150">
        <v>0</v>
      </c>
      <c r="H104" s="486">
        <v>100</v>
      </c>
      <c r="I104" s="487">
        <v>100</v>
      </c>
      <c r="J104" s="488">
        <v>0</v>
      </c>
      <c r="K104" s="487" t="s">
        <v>852</v>
      </c>
      <c r="L104" s="487"/>
      <c r="M104" s="489"/>
      <c r="N104" s="150" t="s">
        <v>349</v>
      </c>
      <c r="O104" s="152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407"/>
    </row>
    <row r="105" spans="1:40" ht="10.9" customHeight="1">
      <c r="A105" s="433" t="s">
        <v>853</v>
      </c>
      <c r="B105" s="427" t="s">
        <v>664</v>
      </c>
      <c r="C105" s="153">
        <v>150</v>
      </c>
      <c r="D105" s="154" t="s">
        <v>25</v>
      </c>
      <c r="E105" s="155">
        <v>7</v>
      </c>
      <c r="F105" s="153">
        <v>15</v>
      </c>
      <c r="G105" s="156">
        <v>0</v>
      </c>
      <c r="H105" s="490">
        <v>150</v>
      </c>
      <c r="I105" s="491">
        <v>100</v>
      </c>
      <c r="J105" s="492">
        <v>1</v>
      </c>
      <c r="K105" s="493" t="s">
        <v>854</v>
      </c>
      <c r="L105" s="493" t="s">
        <v>353</v>
      </c>
      <c r="M105" s="494"/>
      <c r="N105" s="158" t="s">
        <v>25</v>
      </c>
      <c r="O105" s="160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408"/>
    </row>
    <row r="106" spans="1:40" ht="10.9" customHeight="1">
      <c r="A106" s="433" t="s">
        <v>855</v>
      </c>
      <c r="B106" s="422" t="s">
        <v>856</v>
      </c>
      <c r="C106" s="124">
        <v>600</v>
      </c>
      <c r="D106" s="125" t="s">
        <v>25</v>
      </c>
      <c r="E106" s="126">
        <v>14</v>
      </c>
      <c r="F106" s="124">
        <v>15</v>
      </c>
      <c r="G106" s="127">
        <v>0</v>
      </c>
      <c r="H106" s="495">
        <v>150</v>
      </c>
      <c r="I106" s="127">
        <v>100</v>
      </c>
      <c r="J106" s="399">
        <v>1</v>
      </c>
      <c r="K106" s="163" t="s">
        <v>857</v>
      </c>
      <c r="L106" s="163" t="s">
        <v>353</v>
      </c>
      <c r="M106" s="496"/>
      <c r="N106" s="163" t="s">
        <v>25</v>
      </c>
      <c r="O106" s="400"/>
      <c r="P106" s="127"/>
      <c r="Q106" s="127"/>
      <c r="R106" s="127"/>
      <c r="S106" s="127"/>
      <c r="T106" s="127"/>
      <c r="U106" s="127"/>
      <c r="V106" s="127"/>
      <c r="W106" s="127"/>
      <c r="X106" s="127"/>
      <c r="Y106" s="127"/>
      <c r="Z106" s="127"/>
      <c r="AA106" s="127"/>
      <c r="AB106" s="127"/>
      <c r="AC106" s="127"/>
      <c r="AD106" s="127"/>
      <c r="AE106" s="127"/>
      <c r="AF106" s="127"/>
      <c r="AG106" s="127"/>
      <c r="AH106" s="127"/>
      <c r="AI106" s="127"/>
      <c r="AJ106" s="127"/>
      <c r="AK106" s="127"/>
      <c r="AL106" s="127"/>
      <c r="AM106" s="127"/>
      <c r="AN106" s="401"/>
    </row>
    <row r="107" spans="1:40" ht="10.9" customHeight="1">
      <c r="A107" s="433" t="s">
        <v>858</v>
      </c>
      <c r="B107" s="423" t="s">
        <v>859</v>
      </c>
      <c r="C107" s="129">
        <v>1800</v>
      </c>
      <c r="D107" s="130" t="s">
        <v>25</v>
      </c>
      <c r="E107" s="131">
        <v>28</v>
      </c>
      <c r="F107" s="129">
        <v>15</v>
      </c>
      <c r="G107" s="132">
        <v>0</v>
      </c>
      <c r="H107" s="497">
        <v>150</v>
      </c>
      <c r="I107" s="498">
        <v>100</v>
      </c>
      <c r="J107" s="499">
        <v>1</v>
      </c>
      <c r="K107" s="500" t="s">
        <v>860</v>
      </c>
      <c r="L107" s="500" t="s">
        <v>353</v>
      </c>
      <c r="M107" s="501"/>
      <c r="N107" s="134" t="s">
        <v>25</v>
      </c>
      <c r="O107" s="136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32"/>
      <c r="AF107" s="132"/>
      <c r="AG107" s="132"/>
      <c r="AH107" s="132"/>
      <c r="AI107" s="132"/>
      <c r="AJ107" s="132"/>
      <c r="AK107" s="132"/>
      <c r="AL107" s="132"/>
      <c r="AM107" s="132"/>
      <c r="AN107" s="402"/>
    </row>
    <row r="108" spans="1:40" ht="10.9" customHeight="1">
      <c r="A108" s="433" t="s">
        <v>753</v>
      </c>
      <c r="B108" s="424" t="s">
        <v>667</v>
      </c>
      <c r="C108" s="137">
        <v>300</v>
      </c>
      <c r="D108" s="138" t="s">
        <v>25</v>
      </c>
      <c r="E108" s="139">
        <v>8</v>
      </c>
      <c r="F108" s="137">
        <v>30</v>
      </c>
      <c r="G108" s="140">
        <v>0</v>
      </c>
      <c r="H108" s="482">
        <v>150</v>
      </c>
      <c r="I108" s="483">
        <v>100</v>
      </c>
      <c r="J108" s="484">
        <v>2</v>
      </c>
      <c r="K108" s="483" t="s">
        <v>861</v>
      </c>
      <c r="L108" s="483"/>
      <c r="M108" s="485"/>
      <c r="N108" s="140" t="s">
        <v>25</v>
      </c>
      <c r="O108" s="142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40"/>
      <c r="AF108" s="140"/>
      <c r="AG108" s="140"/>
      <c r="AH108" s="140"/>
      <c r="AI108" s="140"/>
      <c r="AJ108" s="140"/>
      <c r="AK108" s="140"/>
      <c r="AL108" s="140"/>
      <c r="AM108" s="140"/>
      <c r="AN108" s="403"/>
    </row>
    <row r="109" spans="1:40" ht="10.9" customHeight="1">
      <c r="A109" s="433" t="s">
        <v>862</v>
      </c>
      <c r="B109" s="425" t="s">
        <v>863</v>
      </c>
      <c r="C109" s="143">
        <v>1200</v>
      </c>
      <c r="D109" s="144" t="s">
        <v>25</v>
      </c>
      <c r="E109" s="145">
        <v>18</v>
      </c>
      <c r="F109" s="143">
        <v>30</v>
      </c>
      <c r="G109" s="146">
        <v>0</v>
      </c>
      <c r="H109" s="502">
        <v>150</v>
      </c>
      <c r="I109" s="146">
        <v>100</v>
      </c>
      <c r="J109" s="404">
        <v>2</v>
      </c>
      <c r="K109" s="146" t="s">
        <v>864</v>
      </c>
      <c r="L109" s="146"/>
      <c r="M109" s="503"/>
      <c r="N109" s="146" t="s">
        <v>25</v>
      </c>
      <c r="O109" s="405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406"/>
    </row>
    <row r="110" spans="1:40" ht="10.9" customHeight="1">
      <c r="A110" s="433" t="s">
        <v>1263</v>
      </c>
      <c r="B110" s="426" t="s">
        <v>865</v>
      </c>
      <c r="C110" s="147">
        <v>3600</v>
      </c>
      <c r="D110" s="148" t="s">
        <v>25</v>
      </c>
      <c r="E110" s="149">
        <v>28</v>
      </c>
      <c r="F110" s="147">
        <v>30</v>
      </c>
      <c r="G110" s="150">
        <v>0</v>
      </c>
      <c r="H110" s="486">
        <v>150</v>
      </c>
      <c r="I110" s="487">
        <v>100</v>
      </c>
      <c r="J110" s="488">
        <v>2</v>
      </c>
      <c r="K110" s="487" t="s">
        <v>866</v>
      </c>
      <c r="L110" s="487"/>
      <c r="M110" s="489"/>
      <c r="N110" s="150" t="s">
        <v>25</v>
      </c>
      <c r="O110" s="152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407"/>
    </row>
    <row r="111" spans="1:40" ht="10.9" customHeight="1">
      <c r="A111" s="432" t="s">
        <v>867</v>
      </c>
      <c r="B111" s="427" t="s">
        <v>760</v>
      </c>
      <c r="C111" s="153">
        <v>600</v>
      </c>
      <c r="D111" s="154" t="s">
        <v>25</v>
      </c>
      <c r="E111" s="155">
        <v>6</v>
      </c>
      <c r="F111" s="153">
        <v>30</v>
      </c>
      <c r="G111" s="156">
        <v>0</v>
      </c>
      <c r="H111" s="490">
        <v>100</v>
      </c>
      <c r="I111" s="491">
        <v>100</v>
      </c>
      <c r="J111" s="492">
        <v>3</v>
      </c>
      <c r="K111" s="493" t="s">
        <v>868</v>
      </c>
      <c r="L111" s="493"/>
      <c r="M111" s="494"/>
      <c r="N111" s="158" t="s">
        <v>25</v>
      </c>
      <c r="O111" s="160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408"/>
    </row>
    <row r="112" spans="1:40" ht="10.9" customHeight="1">
      <c r="A112" s="433" t="s">
        <v>1263</v>
      </c>
      <c r="B112" s="422" t="s">
        <v>869</v>
      </c>
      <c r="C112" s="124">
        <v>3600</v>
      </c>
      <c r="D112" s="125" t="s">
        <v>25</v>
      </c>
      <c r="E112" s="126">
        <v>24</v>
      </c>
      <c r="F112" s="124">
        <v>30</v>
      </c>
      <c r="G112" s="127">
        <v>0</v>
      </c>
      <c r="H112" s="495">
        <v>100</v>
      </c>
      <c r="I112" s="127">
        <v>100</v>
      </c>
      <c r="J112" s="399">
        <v>3</v>
      </c>
      <c r="K112" s="163" t="s">
        <v>870</v>
      </c>
      <c r="L112" s="163"/>
      <c r="M112" s="496"/>
      <c r="N112" s="163" t="s">
        <v>311</v>
      </c>
      <c r="O112" s="400"/>
      <c r="P112" s="127"/>
      <c r="Q112" s="127"/>
      <c r="R112" s="127"/>
      <c r="S112" s="127"/>
      <c r="T112" s="127"/>
      <c r="U112" s="127"/>
      <c r="V112" s="127"/>
      <c r="W112" s="127"/>
      <c r="X112" s="127"/>
      <c r="Y112" s="127"/>
      <c r="Z112" s="127"/>
      <c r="AA112" s="127"/>
      <c r="AB112" s="127"/>
      <c r="AC112" s="127"/>
      <c r="AD112" s="127"/>
      <c r="AE112" s="127"/>
      <c r="AF112" s="127"/>
      <c r="AG112" s="127"/>
      <c r="AH112" s="127"/>
      <c r="AI112" s="127"/>
      <c r="AJ112" s="127"/>
      <c r="AK112" s="127"/>
      <c r="AL112" s="127"/>
      <c r="AM112" s="127"/>
      <c r="AN112" s="401"/>
    </row>
    <row r="113" spans="1:40" ht="10.9" customHeight="1">
      <c r="A113" s="433" t="s">
        <v>776</v>
      </c>
      <c r="B113" s="422" t="s">
        <v>871</v>
      </c>
      <c r="C113" s="124">
        <v>4800</v>
      </c>
      <c r="D113" s="125" t="s">
        <v>25</v>
      </c>
      <c r="E113" s="126">
        <v>30</v>
      </c>
      <c r="F113" s="124">
        <v>30</v>
      </c>
      <c r="G113" s="127">
        <v>0</v>
      </c>
      <c r="H113" s="495">
        <v>100</v>
      </c>
      <c r="I113" s="127">
        <v>100</v>
      </c>
      <c r="J113" s="399">
        <v>3</v>
      </c>
      <c r="K113" s="163" t="s">
        <v>872</v>
      </c>
      <c r="L113" s="163"/>
      <c r="M113" s="496"/>
      <c r="N113" s="163" t="s">
        <v>311</v>
      </c>
      <c r="O113" s="400"/>
      <c r="P113" s="127"/>
      <c r="Q113" s="127"/>
      <c r="R113" s="127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  <c r="AE113" s="127"/>
      <c r="AF113" s="127"/>
      <c r="AG113" s="127"/>
      <c r="AH113" s="127"/>
      <c r="AI113" s="127"/>
      <c r="AJ113" s="127"/>
      <c r="AK113" s="127"/>
      <c r="AL113" s="127"/>
      <c r="AM113" s="127"/>
      <c r="AN113" s="401"/>
    </row>
    <row r="114" spans="1:40" ht="10.9" customHeight="1">
      <c r="A114" s="433" t="s">
        <v>844</v>
      </c>
      <c r="B114" s="423" t="s">
        <v>873</v>
      </c>
      <c r="C114" s="129">
        <v>7200</v>
      </c>
      <c r="D114" s="130" t="s">
        <v>25</v>
      </c>
      <c r="E114" s="131">
        <v>36</v>
      </c>
      <c r="F114" s="129">
        <v>30</v>
      </c>
      <c r="G114" s="132">
        <v>0</v>
      </c>
      <c r="H114" s="497">
        <v>100</v>
      </c>
      <c r="I114" s="498">
        <v>100</v>
      </c>
      <c r="J114" s="499">
        <v>3</v>
      </c>
      <c r="K114" s="500" t="s">
        <v>874</v>
      </c>
      <c r="L114" s="500"/>
      <c r="M114" s="501"/>
      <c r="N114" s="134" t="s">
        <v>311</v>
      </c>
      <c r="O114" s="136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2"/>
      <c r="AE114" s="132"/>
      <c r="AF114" s="132"/>
      <c r="AG114" s="132"/>
      <c r="AH114" s="132"/>
      <c r="AI114" s="132"/>
      <c r="AJ114" s="132"/>
      <c r="AK114" s="132"/>
      <c r="AL114" s="132"/>
      <c r="AM114" s="132"/>
      <c r="AN114" s="402"/>
    </row>
    <row r="115" spans="1:40" ht="10.9" customHeight="1">
      <c r="A115" s="433" t="s">
        <v>806</v>
      </c>
      <c r="B115" s="424" t="s">
        <v>746</v>
      </c>
      <c r="C115" s="137">
        <v>200</v>
      </c>
      <c r="D115" s="138" t="s">
        <v>25</v>
      </c>
      <c r="E115" s="139">
        <v>8</v>
      </c>
      <c r="F115" s="137">
        <v>30</v>
      </c>
      <c r="G115" s="140">
        <v>0</v>
      </c>
      <c r="H115" s="482">
        <v>100</v>
      </c>
      <c r="I115" s="483">
        <v>100</v>
      </c>
      <c r="J115" s="484">
        <v>2</v>
      </c>
      <c r="K115" s="483" t="s">
        <v>875</v>
      </c>
      <c r="L115" s="483"/>
      <c r="M115" s="485"/>
      <c r="N115" s="140" t="s">
        <v>25</v>
      </c>
      <c r="O115" s="142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403"/>
    </row>
    <row r="116" spans="1:40" ht="10.9" customHeight="1">
      <c r="A116" s="433" t="s">
        <v>876</v>
      </c>
      <c r="B116" s="425" t="s">
        <v>853</v>
      </c>
      <c r="C116" s="143">
        <v>400</v>
      </c>
      <c r="D116" s="144" t="s">
        <v>25</v>
      </c>
      <c r="E116" s="145">
        <v>10</v>
      </c>
      <c r="F116" s="143">
        <v>30</v>
      </c>
      <c r="G116" s="146">
        <v>0</v>
      </c>
      <c r="H116" s="502">
        <v>100</v>
      </c>
      <c r="I116" s="146">
        <v>100</v>
      </c>
      <c r="J116" s="404">
        <v>2</v>
      </c>
      <c r="K116" s="146" t="s">
        <v>877</v>
      </c>
      <c r="L116" s="146"/>
      <c r="M116" s="503"/>
      <c r="N116" s="146" t="s">
        <v>25</v>
      </c>
      <c r="O116" s="405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406"/>
    </row>
    <row r="117" spans="1:40" ht="10.9" customHeight="1">
      <c r="A117" s="433" t="s">
        <v>642</v>
      </c>
      <c r="B117" s="426" t="s">
        <v>878</v>
      </c>
      <c r="C117" s="147">
        <v>800</v>
      </c>
      <c r="D117" s="148" t="s">
        <v>25</v>
      </c>
      <c r="E117" s="149">
        <v>18</v>
      </c>
      <c r="F117" s="147">
        <v>30</v>
      </c>
      <c r="G117" s="150">
        <v>0</v>
      </c>
      <c r="H117" s="486">
        <v>100</v>
      </c>
      <c r="I117" s="487">
        <v>100</v>
      </c>
      <c r="J117" s="488">
        <v>1</v>
      </c>
      <c r="K117" s="487" t="s">
        <v>879</v>
      </c>
      <c r="L117" s="487"/>
      <c r="M117" s="489"/>
      <c r="N117" s="150" t="s">
        <v>25</v>
      </c>
      <c r="O117" s="152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407"/>
    </row>
    <row r="118" spans="1:40" ht="10.9" customHeight="1">
      <c r="A118" s="433" t="s">
        <v>880</v>
      </c>
      <c r="B118" s="427" t="s">
        <v>855</v>
      </c>
      <c r="C118" s="153">
        <v>500</v>
      </c>
      <c r="D118" s="154" t="s">
        <v>25</v>
      </c>
      <c r="E118" s="155">
        <v>8</v>
      </c>
      <c r="F118" s="153">
        <v>15</v>
      </c>
      <c r="G118" s="156">
        <v>0</v>
      </c>
      <c r="H118" s="490">
        <v>150</v>
      </c>
      <c r="I118" s="491">
        <v>100</v>
      </c>
      <c r="J118" s="492">
        <v>3</v>
      </c>
      <c r="K118" s="493" t="s">
        <v>881</v>
      </c>
      <c r="L118" s="493"/>
      <c r="M118" s="494"/>
      <c r="N118" s="160" t="s">
        <v>25</v>
      </c>
      <c r="O118" s="160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408"/>
    </row>
    <row r="119" spans="1:40" ht="10.9" customHeight="1">
      <c r="A119" s="433" t="s">
        <v>1263</v>
      </c>
      <c r="B119" s="422" t="s">
        <v>882</v>
      </c>
      <c r="C119" s="124">
        <v>1000</v>
      </c>
      <c r="D119" s="125" t="s">
        <v>25</v>
      </c>
      <c r="E119" s="126">
        <v>16</v>
      </c>
      <c r="F119" s="124">
        <v>15</v>
      </c>
      <c r="G119" s="127">
        <v>0</v>
      </c>
      <c r="H119" s="495">
        <v>150</v>
      </c>
      <c r="I119" s="127">
        <v>100</v>
      </c>
      <c r="J119" s="399">
        <v>3</v>
      </c>
      <c r="K119" s="163" t="s">
        <v>883</v>
      </c>
      <c r="L119" s="163"/>
      <c r="M119" s="496"/>
      <c r="N119" s="400" t="s">
        <v>25</v>
      </c>
      <c r="O119" s="400"/>
      <c r="P119" s="127"/>
      <c r="Q119" s="127"/>
      <c r="R119" s="127"/>
      <c r="S119" s="127"/>
      <c r="T119" s="127"/>
      <c r="U119" s="127"/>
      <c r="V119" s="127"/>
      <c r="W119" s="127"/>
      <c r="X119" s="127"/>
      <c r="Y119" s="127"/>
      <c r="Z119" s="127"/>
      <c r="AA119" s="127"/>
      <c r="AB119" s="127"/>
      <c r="AC119" s="127"/>
      <c r="AD119" s="127"/>
      <c r="AE119" s="127"/>
      <c r="AF119" s="127"/>
      <c r="AG119" s="127"/>
      <c r="AH119" s="127"/>
      <c r="AI119" s="127"/>
      <c r="AJ119" s="127"/>
      <c r="AK119" s="127"/>
      <c r="AL119" s="127"/>
      <c r="AM119" s="127"/>
      <c r="AN119" s="401"/>
    </row>
    <row r="120" spans="1:40" ht="10.9" customHeight="1">
      <c r="A120" s="432" t="s">
        <v>884</v>
      </c>
      <c r="B120" s="423" t="s">
        <v>885</v>
      </c>
      <c r="C120" s="129">
        <v>1500</v>
      </c>
      <c r="D120" s="130" t="s">
        <v>25</v>
      </c>
      <c r="E120" s="131">
        <v>24</v>
      </c>
      <c r="F120" s="129">
        <v>15</v>
      </c>
      <c r="G120" s="132">
        <v>0</v>
      </c>
      <c r="H120" s="497">
        <v>150</v>
      </c>
      <c r="I120" s="498">
        <v>100</v>
      </c>
      <c r="J120" s="499">
        <v>3</v>
      </c>
      <c r="K120" s="500" t="s">
        <v>886</v>
      </c>
      <c r="L120" s="500"/>
      <c r="M120" s="501"/>
      <c r="N120" s="136"/>
      <c r="O120" s="136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2"/>
      <c r="AE120" s="132"/>
      <c r="AF120" s="132"/>
      <c r="AG120" s="132"/>
      <c r="AH120" s="132"/>
      <c r="AI120" s="132"/>
      <c r="AJ120" s="132"/>
      <c r="AK120" s="132"/>
      <c r="AL120" s="132"/>
      <c r="AM120" s="132"/>
      <c r="AN120" s="402"/>
    </row>
    <row r="121" spans="1:40" ht="10.9" customHeight="1">
      <c r="A121" s="433" t="s">
        <v>1263</v>
      </c>
      <c r="B121" s="424" t="s">
        <v>778</v>
      </c>
      <c r="C121" s="137">
        <v>300</v>
      </c>
      <c r="D121" s="138" t="s">
        <v>25</v>
      </c>
      <c r="E121" s="139">
        <v>8</v>
      </c>
      <c r="F121" s="137">
        <v>15</v>
      </c>
      <c r="G121" s="140">
        <v>1</v>
      </c>
      <c r="H121" s="482">
        <v>100</v>
      </c>
      <c r="I121" s="483">
        <v>150</v>
      </c>
      <c r="J121" s="484">
        <v>3</v>
      </c>
      <c r="K121" s="483" t="s">
        <v>887</v>
      </c>
      <c r="L121" s="483"/>
      <c r="M121" s="485"/>
      <c r="N121" s="140" t="s">
        <v>355</v>
      </c>
      <c r="O121" s="142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0"/>
      <c r="AI121" s="140"/>
      <c r="AJ121" s="140"/>
      <c r="AK121" s="140"/>
      <c r="AL121" s="140"/>
      <c r="AM121" s="140"/>
      <c r="AN121" s="403"/>
    </row>
    <row r="122" spans="1:40" ht="10.9" customHeight="1">
      <c r="A122" s="433" t="s">
        <v>704</v>
      </c>
      <c r="B122" s="426" t="s">
        <v>888</v>
      </c>
      <c r="C122" s="147">
        <v>1800</v>
      </c>
      <c r="D122" s="148" t="s">
        <v>25</v>
      </c>
      <c r="E122" s="149">
        <v>24</v>
      </c>
      <c r="F122" s="147">
        <v>15</v>
      </c>
      <c r="G122" s="150">
        <v>10</v>
      </c>
      <c r="H122" s="486">
        <v>100</v>
      </c>
      <c r="I122" s="487">
        <v>150</v>
      </c>
      <c r="J122" s="488">
        <v>3</v>
      </c>
      <c r="K122" s="487" t="s">
        <v>889</v>
      </c>
      <c r="L122" s="487"/>
      <c r="M122" s="489"/>
      <c r="N122" s="150" t="s">
        <v>343</v>
      </c>
      <c r="O122" s="152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407"/>
    </row>
    <row r="123" spans="1:40" ht="10.9" customHeight="1">
      <c r="A123" s="433" t="s">
        <v>637</v>
      </c>
      <c r="B123" s="427" t="s">
        <v>890</v>
      </c>
      <c r="C123" s="153">
        <v>400</v>
      </c>
      <c r="D123" s="154" t="s">
        <v>25</v>
      </c>
      <c r="E123" s="155">
        <v>14</v>
      </c>
      <c r="F123" s="153">
        <v>15</v>
      </c>
      <c r="G123" s="156">
        <v>1</v>
      </c>
      <c r="H123" s="490">
        <v>100</v>
      </c>
      <c r="I123" s="491">
        <v>150</v>
      </c>
      <c r="J123" s="492">
        <v>1</v>
      </c>
      <c r="K123" s="493" t="s">
        <v>891</v>
      </c>
      <c r="L123" s="493"/>
      <c r="M123" s="494"/>
      <c r="N123" s="158" t="s">
        <v>342</v>
      </c>
      <c r="O123" s="160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408"/>
    </row>
    <row r="124" spans="1:40" ht="10.9" customHeight="1">
      <c r="A124" s="433" t="s">
        <v>647</v>
      </c>
      <c r="B124" s="423" t="s">
        <v>892</v>
      </c>
      <c r="C124" s="129">
        <v>1600</v>
      </c>
      <c r="D124" s="130" t="s">
        <v>25</v>
      </c>
      <c r="E124" s="131">
        <v>21</v>
      </c>
      <c r="F124" s="129">
        <v>15</v>
      </c>
      <c r="G124" s="132">
        <v>10</v>
      </c>
      <c r="H124" s="497">
        <v>100</v>
      </c>
      <c r="I124" s="498">
        <v>150</v>
      </c>
      <c r="J124" s="499">
        <v>1</v>
      </c>
      <c r="K124" s="500" t="s">
        <v>893</v>
      </c>
      <c r="L124" s="500"/>
      <c r="M124" s="501"/>
      <c r="N124" s="134" t="s">
        <v>342</v>
      </c>
      <c r="O124" s="136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402"/>
    </row>
    <row r="125" spans="1:40" ht="10.9" customHeight="1">
      <c r="A125" s="433" t="s">
        <v>655</v>
      </c>
      <c r="B125" s="424" t="s">
        <v>781</v>
      </c>
      <c r="C125" s="137">
        <v>300</v>
      </c>
      <c r="D125" s="138" t="s">
        <v>25</v>
      </c>
      <c r="E125" s="139">
        <v>9</v>
      </c>
      <c r="F125" s="137">
        <v>15</v>
      </c>
      <c r="G125" s="140">
        <v>1</v>
      </c>
      <c r="H125" s="482">
        <v>100</v>
      </c>
      <c r="I125" s="483">
        <v>100</v>
      </c>
      <c r="J125" s="484">
        <v>0</v>
      </c>
      <c r="K125" s="483" t="s">
        <v>894</v>
      </c>
      <c r="L125" s="483"/>
      <c r="M125" s="485"/>
      <c r="N125" s="140" t="s">
        <v>346</v>
      </c>
      <c r="O125" s="142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40"/>
      <c r="AF125" s="140"/>
      <c r="AG125" s="140"/>
      <c r="AH125" s="140"/>
      <c r="AI125" s="140"/>
      <c r="AJ125" s="140"/>
      <c r="AK125" s="140"/>
      <c r="AL125" s="140"/>
      <c r="AM125" s="140"/>
      <c r="AN125" s="403"/>
    </row>
    <row r="126" spans="1:40" ht="10.9" customHeight="1">
      <c r="A126" s="433" t="s">
        <v>895</v>
      </c>
      <c r="B126" s="425" t="s">
        <v>896</v>
      </c>
      <c r="C126" s="143">
        <v>500</v>
      </c>
      <c r="D126" s="144" t="s">
        <v>25</v>
      </c>
      <c r="E126" s="145">
        <v>15</v>
      </c>
      <c r="F126" s="143">
        <v>15</v>
      </c>
      <c r="G126" s="146">
        <v>10</v>
      </c>
      <c r="H126" s="502">
        <v>100</v>
      </c>
      <c r="I126" s="146">
        <v>100</v>
      </c>
      <c r="J126" s="404">
        <v>0</v>
      </c>
      <c r="K126" s="146" t="s">
        <v>897</v>
      </c>
      <c r="L126" s="146"/>
      <c r="M126" s="503"/>
      <c r="N126" s="146" t="s">
        <v>346</v>
      </c>
      <c r="O126" s="405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406"/>
    </row>
    <row r="127" spans="1:40" ht="10.9" customHeight="1">
      <c r="A127" s="433" t="s">
        <v>1263</v>
      </c>
      <c r="B127" s="426" t="s">
        <v>898</v>
      </c>
      <c r="C127" s="147">
        <v>700</v>
      </c>
      <c r="D127" s="148" t="s">
        <v>25</v>
      </c>
      <c r="E127" s="149">
        <v>21</v>
      </c>
      <c r="F127" s="147">
        <v>15</v>
      </c>
      <c r="G127" s="150">
        <v>15</v>
      </c>
      <c r="H127" s="486">
        <v>100</v>
      </c>
      <c r="I127" s="487">
        <v>100</v>
      </c>
      <c r="J127" s="488">
        <v>0</v>
      </c>
      <c r="K127" s="487" t="s">
        <v>899</v>
      </c>
      <c r="L127" s="487"/>
      <c r="M127" s="489"/>
      <c r="N127" s="150" t="s">
        <v>346</v>
      </c>
      <c r="O127" s="152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50"/>
      <c r="AN127" s="407"/>
    </row>
    <row r="128" spans="1:40" ht="10.9" customHeight="1">
      <c r="A128" s="432" t="s">
        <v>900</v>
      </c>
      <c r="B128" s="427" t="s">
        <v>784</v>
      </c>
      <c r="C128" s="153">
        <v>500</v>
      </c>
      <c r="D128" s="154" t="s">
        <v>25</v>
      </c>
      <c r="E128" s="155">
        <v>9</v>
      </c>
      <c r="F128" s="153">
        <v>30</v>
      </c>
      <c r="G128" s="156">
        <v>1</v>
      </c>
      <c r="H128" s="490">
        <v>100</v>
      </c>
      <c r="I128" s="491">
        <v>150</v>
      </c>
      <c r="J128" s="492">
        <v>0</v>
      </c>
      <c r="K128" s="493" t="s">
        <v>901</v>
      </c>
      <c r="L128" s="493"/>
      <c r="M128" s="494"/>
      <c r="N128" s="158" t="s">
        <v>338</v>
      </c>
      <c r="O128" s="160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408"/>
    </row>
    <row r="129" spans="1:40" ht="10.9" customHeight="1">
      <c r="A129" s="433" t="s">
        <v>1263</v>
      </c>
      <c r="B129" s="422" t="s">
        <v>902</v>
      </c>
      <c r="C129" s="124">
        <v>1000</v>
      </c>
      <c r="D129" s="125" t="s">
        <v>25</v>
      </c>
      <c r="E129" s="126">
        <v>18</v>
      </c>
      <c r="F129" s="124">
        <v>30</v>
      </c>
      <c r="G129" s="127">
        <v>5</v>
      </c>
      <c r="H129" s="495">
        <v>100</v>
      </c>
      <c r="I129" s="127">
        <v>150</v>
      </c>
      <c r="J129" s="399">
        <v>0</v>
      </c>
      <c r="K129" s="163" t="s">
        <v>903</v>
      </c>
      <c r="L129" s="163"/>
      <c r="M129" s="496"/>
      <c r="N129" s="163" t="s">
        <v>338</v>
      </c>
      <c r="O129" s="400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401"/>
    </row>
    <row r="130" spans="1:40" ht="10.9" customHeight="1">
      <c r="A130" s="433" t="s">
        <v>819</v>
      </c>
      <c r="B130" s="422" t="s">
        <v>904</v>
      </c>
      <c r="C130" s="124">
        <v>3000</v>
      </c>
      <c r="D130" s="125" t="s">
        <v>25</v>
      </c>
      <c r="E130" s="126">
        <v>24</v>
      </c>
      <c r="F130" s="124">
        <v>30</v>
      </c>
      <c r="G130" s="127">
        <v>10</v>
      </c>
      <c r="H130" s="495">
        <v>100</v>
      </c>
      <c r="I130" s="127">
        <v>150</v>
      </c>
      <c r="J130" s="399">
        <v>0</v>
      </c>
      <c r="K130" s="163" t="s">
        <v>905</v>
      </c>
      <c r="L130" s="163"/>
      <c r="M130" s="496"/>
      <c r="N130" s="163" t="s">
        <v>338</v>
      </c>
      <c r="O130" s="400" t="s">
        <v>334</v>
      </c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401"/>
    </row>
    <row r="131" spans="1:40" ht="10.9" customHeight="1">
      <c r="A131" s="433" t="s">
        <v>821</v>
      </c>
      <c r="B131" s="423" t="s">
        <v>906</v>
      </c>
      <c r="C131" s="129">
        <v>5000</v>
      </c>
      <c r="D131" s="130" t="s">
        <v>25</v>
      </c>
      <c r="E131" s="131">
        <v>30</v>
      </c>
      <c r="F131" s="129">
        <v>30</v>
      </c>
      <c r="G131" s="132">
        <v>10</v>
      </c>
      <c r="H131" s="497">
        <v>100</v>
      </c>
      <c r="I131" s="498">
        <v>150</v>
      </c>
      <c r="J131" s="499">
        <v>0</v>
      </c>
      <c r="K131" s="500" t="s">
        <v>907</v>
      </c>
      <c r="L131" s="500"/>
      <c r="M131" s="501"/>
      <c r="N131" s="134" t="s">
        <v>338</v>
      </c>
      <c r="O131" s="136" t="s">
        <v>334</v>
      </c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402"/>
    </row>
    <row r="132" spans="1:40" ht="10.9" customHeight="1">
      <c r="A132" s="433" t="s">
        <v>908</v>
      </c>
      <c r="B132" s="424" t="s">
        <v>876</v>
      </c>
      <c r="C132" s="137">
        <v>500</v>
      </c>
      <c r="D132" s="138" t="s">
        <v>25</v>
      </c>
      <c r="E132" s="139">
        <v>12</v>
      </c>
      <c r="F132" s="137">
        <v>15</v>
      </c>
      <c r="G132" s="140">
        <v>1</v>
      </c>
      <c r="H132" s="143">
        <v>100</v>
      </c>
      <c r="I132" s="146">
        <v>100</v>
      </c>
      <c r="J132" s="404">
        <v>1</v>
      </c>
      <c r="K132" s="146" t="s">
        <v>909</v>
      </c>
      <c r="L132" s="146"/>
      <c r="M132" s="146"/>
      <c r="N132" s="137" t="s">
        <v>335</v>
      </c>
      <c r="O132" s="142" t="s">
        <v>321</v>
      </c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40"/>
      <c r="AF132" s="140"/>
      <c r="AG132" s="140"/>
      <c r="AH132" s="140"/>
      <c r="AI132" s="140"/>
      <c r="AJ132" s="140"/>
      <c r="AK132" s="140"/>
      <c r="AL132" s="140"/>
      <c r="AM132" s="140"/>
      <c r="AN132" s="403"/>
    </row>
    <row r="133" spans="1:40" ht="10.9" customHeight="1">
      <c r="A133" s="433" t="s">
        <v>1263</v>
      </c>
      <c r="B133" s="425" t="s">
        <v>910</v>
      </c>
      <c r="C133" s="143">
        <v>700</v>
      </c>
      <c r="D133" s="144" t="s">
        <v>25</v>
      </c>
      <c r="E133" s="145">
        <v>16</v>
      </c>
      <c r="F133" s="143">
        <v>15</v>
      </c>
      <c r="G133" s="146">
        <v>10</v>
      </c>
      <c r="H133" s="143">
        <v>100</v>
      </c>
      <c r="I133" s="146">
        <v>100</v>
      </c>
      <c r="J133" s="404">
        <v>1</v>
      </c>
      <c r="K133" s="146" t="s">
        <v>911</v>
      </c>
      <c r="L133" s="146"/>
      <c r="M133" s="146"/>
      <c r="N133" s="143" t="s">
        <v>335</v>
      </c>
      <c r="O133" s="405" t="s">
        <v>321</v>
      </c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406"/>
    </row>
    <row r="134" spans="1:40" ht="10.9" customHeight="1">
      <c r="A134" s="432" t="s">
        <v>912</v>
      </c>
      <c r="B134" s="426" t="s">
        <v>913</v>
      </c>
      <c r="C134" s="147">
        <v>900</v>
      </c>
      <c r="D134" s="148" t="s">
        <v>25</v>
      </c>
      <c r="E134" s="149">
        <v>20</v>
      </c>
      <c r="F134" s="147">
        <v>15</v>
      </c>
      <c r="G134" s="150">
        <v>5</v>
      </c>
      <c r="H134" s="147">
        <v>100</v>
      </c>
      <c r="I134" s="150">
        <v>100</v>
      </c>
      <c r="J134" s="151">
        <v>1</v>
      </c>
      <c r="K134" s="150" t="s">
        <v>914</v>
      </c>
      <c r="L134" s="150"/>
      <c r="M134" s="150"/>
      <c r="N134" s="147" t="s">
        <v>335</v>
      </c>
      <c r="O134" s="152" t="s">
        <v>321</v>
      </c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0"/>
      <c r="AL134" s="150"/>
      <c r="AM134" s="150"/>
      <c r="AN134" s="407"/>
    </row>
    <row r="135" spans="1:40" ht="10.9" customHeight="1">
      <c r="A135" s="433" t="s">
        <v>1263</v>
      </c>
      <c r="B135" s="427" t="s">
        <v>700</v>
      </c>
      <c r="C135" s="153">
        <v>400</v>
      </c>
      <c r="D135" s="154" t="s">
        <v>25</v>
      </c>
      <c r="E135" s="155">
        <v>10</v>
      </c>
      <c r="F135" s="153">
        <v>15</v>
      </c>
      <c r="G135" s="156">
        <v>1</v>
      </c>
      <c r="H135" s="153">
        <v>100</v>
      </c>
      <c r="I135" s="156">
        <v>150</v>
      </c>
      <c r="J135" s="157">
        <v>2</v>
      </c>
      <c r="K135" s="158" t="s">
        <v>915</v>
      </c>
      <c r="L135" s="158"/>
      <c r="M135" s="158"/>
      <c r="N135" s="159" t="s">
        <v>343</v>
      </c>
      <c r="O135" s="160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408"/>
    </row>
    <row r="136" spans="1:40" ht="10.9" customHeight="1">
      <c r="A136" s="433" t="s">
        <v>662</v>
      </c>
      <c r="B136" s="422" t="s">
        <v>916</v>
      </c>
      <c r="C136" s="124">
        <v>800</v>
      </c>
      <c r="D136" s="125" t="s">
        <v>25</v>
      </c>
      <c r="E136" s="126">
        <v>15</v>
      </c>
      <c r="F136" s="124">
        <v>15</v>
      </c>
      <c r="G136" s="127">
        <v>5</v>
      </c>
      <c r="H136" s="124">
        <v>100</v>
      </c>
      <c r="I136" s="127">
        <v>150</v>
      </c>
      <c r="J136" s="399">
        <v>2</v>
      </c>
      <c r="K136" s="163" t="s">
        <v>917</v>
      </c>
      <c r="L136" s="163"/>
      <c r="M136" s="163"/>
      <c r="N136" s="128" t="s">
        <v>343</v>
      </c>
      <c r="O136" s="400" t="s">
        <v>344</v>
      </c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401"/>
    </row>
    <row r="137" spans="1:40" ht="10.9" customHeight="1">
      <c r="A137" s="433" t="s">
        <v>916</v>
      </c>
      <c r="B137" s="423" t="s">
        <v>918</v>
      </c>
      <c r="C137" s="129">
        <v>1600</v>
      </c>
      <c r="D137" s="130" t="s">
        <v>25</v>
      </c>
      <c r="E137" s="131">
        <v>20</v>
      </c>
      <c r="F137" s="129">
        <v>15</v>
      </c>
      <c r="G137" s="132">
        <v>5</v>
      </c>
      <c r="H137" s="129">
        <v>100</v>
      </c>
      <c r="I137" s="132">
        <v>150</v>
      </c>
      <c r="J137" s="133">
        <v>2</v>
      </c>
      <c r="K137" s="134" t="s">
        <v>919</v>
      </c>
      <c r="L137" s="134"/>
      <c r="M137" s="134"/>
      <c r="N137" s="135" t="s">
        <v>344</v>
      </c>
      <c r="O137" s="136" t="s">
        <v>334</v>
      </c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402"/>
    </row>
    <row r="138" spans="1:40" ht="10.9" customHeight="1">
      <c r="A138" s="433" t="s">
        <v>882</v>
      </c>
      <c r="B138" s="424" t="s">
        <v>703</v>
      </c>
      <c r="C138" s="137">
        <v>200</v>
      </c>
      <c r="D138" s="138" t="s">
        <v>25</v>
      </c>
      <c r="E138" s="139">
        <v>9</v>
      </c>
      <c r="F138" s="137">
        <v>15</v>
      </c>
      <c r="G138" s="140">
        <v>0</v>
      </c>
      <c r="H138" s="137">
        <v>100</v>
      </c>
      <c r="I138" s="140">
        <v>150</v>
      </c>
      <c r="J138" s="141">
        <v>2</v>
      </c>
      <c r="K138" s="140" t="s">
        <v>920</v>
      </c>
      <c r="L138" s="140" t="s">
        <v>353</v>
      </c>
      <c r="M138" s="140"/>
      <c r="N138" s="137" t="s">
        <v>25</v>
      </c>
      <c r="O138" s="142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40"/>
      <c r="AF138" s="140"/>
      <c r="AG138" s="140"/>
      <c r="AH138" s="140"/>
      <c r="AI138" s="140"/>
      <c r="AJ138" s="140"/>
      <c r="AK138" s="140"/>
      <c r="AL138" s="140"/>
      <c r="AM138" s="140"/>
      <c r="AN138" s="403"/>
    </row>
    <row r="139" spans="1:40" ht="10.9" customHeight="1">
      <c r="A139" s="433" t="s">
        <v>896</v>
      </c>
      <c r="B139" s="425" t="s">
        <v>763</v>
      </c>
      <c r="C139" s="143">
        <v>250</v>
      </c>
      <c r="D139" s="144" t="s">
        <v>25</v>
      </c>
      <c r="E139" s="145">
        <v>8</v>
      </c>
      <c r="F139" s="143">
        <v>15</v>
      </c>
      <c r="G139" s="146">
        <v>0</v>
      </c>
      <c r="H139" s="143">
        <v>100</v>
      </c>
      <c r="I139" s="146">
        <v>150</v>
      </c>
      <c r="J139" s="404">
        <v>2</v>
      </c>
      <c r="K139" s="146" t="s">
        <v>921</v>
      </c>
      <c r="L139" s="146" t="s">
        <v>353</v>
      </c>
      <c r="M139" s="146"/>
      <c r="N139" s="143" t="s">
        <v>25</v>
      </c>
      <c r="O139" s="405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146"/>
      <c r="AJ139" s="146"/>
      <c r="AK139" s="146"/>
      <c r="AL139" s="146"/>
      <c r="AM139" s="146"/>
      <c r="AN139" s="406"/>
    </row>
    <row r="140" spans="1:40" ht="10.9" customHeight="1">
      <c r="A140" s="433" t="s">
        <v>890</v>
      </c>
      <c r="B140" s="426" t="s">
        <v>731</v>
      </c>
      <c r="C140" s="147">
        <v>300</v>
      </c>
      <c r="D140" s="148" t="s">
        <v>25</v>
      </c>
      <c r="E140" s="149">
        <v>10</v>
      </c>
      <c r="F140" s="147">
        <v>15</v>
      </c>
      <c r="G140" s="150">
        <v>0</v>
      </c>
      <c r="H140" s="147">
        <v>100</v>
      </c>
      <c r="I140" s="150">
        <v>150</v>
      </c>
      <c r="J140" s="151">
        <v>2</v>
      </c>
      <c r="K140" s="150" t="s">
        <v>922</v>
      </c>
      <c r="L140" s="150" t="s">
        <v>353</v>
      </c>
      <c r="M140" s="150"/>
      <c r="N140" s="147" t="s">
        <v>25</v>
      </c>
      <c r="O140" s="152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  <c r="AH140" s="150"/>
      <c r="AI140" s="150"/>
      <c r="AJ140" s="150"/>
      <c r="AK140" s="150"/>
      <c r="AL140" s="150"/>
      <c r="AM140" s="150"/>
      <c r="AN140" s="407"/>
    </row>
    <row r="141" spans="1:40" ht="10.9" customHeight="1">
      <c r="A141" s="433" t="s">
        <v>1263</v>
      </c>
      <c r="B141" s="427" t="s">
        <v>706</v>
      </c>
      <c r="C141" s="153">
        <v>300</v>
      </c>
      <c r="D141" s="154" t="s">
        <v>25</v>
      </c>
      <c r="E141" s="155">
        <v>8</v>
      </c>
      <c r="F141" s="153">
        <v>30</v>
      </c>
      <c r="G141" s="156">
        <v>0</v>
      </c>
      <c r="H141" s="153">
        <v>100</v>
      </c>
      <c r="I141" s="156" t="s">
        <v>623</v>
      </c>
      <c r="J141" s="157">
        <v>1</v>
      </c>
      <c r="K141" s="158" t="s">
        <v>923</v>
      </c>
      <c r="L141" s="158" t="s">
        <v>358</v>
      </c>
      <c r="M141" s="158"/>
      <c r="N141" s="159" t="s">
        <v>25</v>
      </c>
      <c r="O141" s="160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156"/>
      <c r="AC141" s="156"/>
      <c r="AD141" s="156"/>
      <c r="AE141" s="156"/>
      <c r="AF141" s="156"/>
      <c r="AG141" s="156"/>
      <c r="AH141" s="156"/>
      <c r="AI141" s="156"/>
      <c r="AJ141" s="156"/>
      <c r="AK141" s="156"/>
      <c r="AL141" s="156"/>
      <c r="AM141" s="156"/>
      <c r="AN141" s="408"/>
    </row>
    <row r="142" spans="1:40" ht="10.9" customHeight="1">
      <c r="A142" s="432" t="s">
        <v>924</v>
      </c>
      <c r="B142" s="423" t="s">
        <v>925</v>
      </c>
      <c r="C142" s="129">
        <v>900</v>
      </c>
      <c r="D142" s="130" t="s">
        <v>25</v>
      </c>
      <c r="E142" s="131">
        <v>16</v>
      </c>
      <c r="F142" s="129">
        <v>30</v>
      </c>
      <c r="G142" s="132">
        <v>0</v>
      </c>
      <c r="H142" s="129">
        <v>100</v>
      </c>
      <c r="I142" s="132" t="s">
        <v>623</v>
      </c>
      <c r="J142" s="133">
        <v>1</v>
      </c>
      <c r="K142" s="134" t="s">
        <v>926</v>
      </c>
      <c r="L142" s="134" t="s">
        <v>358</v>
      </c>
      <c r="M142" s="134"/>
      <c r="N142" s="135" t="s">
        <v>25</v>
      </c>
      <c r="O142" s="136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402"/>
    </row>
    <row r="143" spans="1:40" ht="10.9" customHeight="1">
      <c r="A143" s="433" t="s">
        <v>1263</v>
      </c>
      <c r="B143" s="424" t="s">
        <v>838</v>
      </c>
      <c r="C143" s="137">
        <v>300</v>
      </c>
      <c r="D143" s="138" t="s">
        <v>25</v>
      </c>
      <c r="E143" s="139">
        <v>10</v>
      </c>
      <c r="F143" s="137">
        <v>15</v>
      </c>
      <c r="G143" s="140">
        <v>1</v>
      </c>
      <c r="H143" s="137">
        <v>100</v>
      </c>
      <c r="I143" s="140" t="s">
        <v>623</v>
      </c>
      <c r="J143" s="141">
        <v>1</v>
      </c>
      <c r="K143" s="140" t="s">
        <v>927</v>
      </c>
      <c r="L143" s="140"/>
      <c r="M143" s="140"/>
      <c r="N143" s="137" t="s">
        <v>351</v>
      </c>
      <c r="O143" s="142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40"/>
      <c r="AF143" s="140"/>
      <c r="AG143" s="140"/>
      <c r="AH143" s="140"/>
      <c r="AI143" s="140"/>
      <c r="AJ143" s="140"/>
      <c r="AK143" s="140"/>
      <c r="AL143" s="140"/>
      <c r="AM143" s="140"/>
      <c r="AN143" s="403"/>
    </row>
    <row r="144" spans="1:40" ht="10.9" customHeight="1">
      <c r="A144" s="433" t="s">
        <v>618</v>
      </c>
      <c r="B144" s="425" t="s">
        <v>928</v>
      </c>
      <c r="C144" s="143">
        <v>1200</v>
      </c>
      <c r="D144" s="144" t="s">
        <v>25</v>
      </c>
      <c r="E144" s="145">
        <v>25</v>
      </c>
      <c r="F144" s="143">
        <v>15</v>
      </c>
      <c r="G144" s="146">
        <v>15</v>
      </c>
      <c r="H144" s="143">
        <v>100</v>
      </c>
      <c r="I144" s="146" t="s">
        <v>623</v>
      </c>
      <c r="J144" s="404">
        <v>1</v>
      </c>
      <c r="K144" s="146" t="s">
        <v>929</v>
      </c>
      <c r="L144" s="146"/>
      <c r="M144" s="146"/>
      <c r="N144" s="143" t="s">
        <v>351</v>
      </c>
      <c r="O144" s="405" t="s">
        <v>342</v>
      </c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406"/>
    </row>
    <row r="145" spans="1:40" ht="10.9" customHeight="1">
      <c r="A145" s="433" t="s">
        <v>676</v>
      </c>
      <c r="B145" s="426" t="s">
        <v>930</v>
      </c>
      <c r="C145" s="147">
        <v>1800</v>
      </c>
      <c r="D145" s="148" t="s">
        <v>25</v>
      </c>
      <c r="E145" s="149">
        <v>30</v>
      </c>
      <c r="F145" s="147">
        <v>15</v>
      </c>
      <c r="G145" s="150">
        <v>15</v>
      </c>
      <c r="H145" s="147">
        <v>100</v>
      </c>
      <c r="I145" s="150" t="s">
        <v>623</v>
      </c>
      <c r="J145" s="151">
        <v>1</v>
      </c>
      <c r="K145" s="150" t="s">
        <v>931</v>
      </c>
      <c r="L145" s="150"/>
      <c r="M145" s="150"/>
      <c r="N145" s="147" t="s">
        <v>351</v>
      </c>
      <c r="O145" s="152" t="s">
        <v>342</v>
      </c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  <c r="AH145" s="150"/>
      <c r="AI145" s="150"/>
      <c r="AJ145" s="150"/>
      <c r="AK145" s="150"/>
      <c r="AL145" s="150"/>
      <c r="AM145" s="150"/>
      <c r="AN145" s="407"/>
    </row>
    <row r="146" spans="1:40" ht="10.9" customHeight="1">
      <c r="A146" s="433" t="s">
        <v>878</v>
      </c>
      <c r="B146" s="427" t="s">
        <v>841</v>
      </c>
      <c r="C146" s="153">
        <v>500</v>
      </c>
      <c r="D146" s="166" t="s">
        <v>25</v>
      </c>
      <c r="E146" s="155">
        <v>9</v>
      </c>
      <c r="F146" s="153">
        <v>15</v>
      </c>
      <c r="G146" s="156">
        <v>1</v>
      </c>
      <c r="H146" s="153">
        <v>100</v>
      </c>
      <c r="I146" s="156">
        <v>100</v>
      </c>
      <c r="J146" s="157">
        <v>0</v>
      </c>
      <c r="K146" s="158" t="s">
        <v>932</v>
      </c>
      <c r="L146" s="158"/>
      <c r="M146" s="158"/>
      <c r="N146" s="159" t="s">
        <v>305</v>
      </c>
      <c r="O146" s="160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408"/>
    </row>
    <row r="147" spans="1:40" ht="10.9" customHeight="1">
      <c r="A147" s="433" t="s">
        <v>933</v>
      </c>
      <c r="B147" s="423" t="s">
        <v>934</v>
      </c>
      <c r="C147" s="129">
        <v>1500</v>
      </c>
      <c r="D147" s="164" t="s">
        <v>25</v>
      </c>
      <c r="E147" s="131">
        <v>18</v>
      </c>
      <c r="F147" s="129">
        <v>15</v>
      </c>
      <c r="G147" s="132">
        <v>10</v>
      </c>
      <c r="H147" s="129">
        <v>100</v>
      </c>
      <c r="I147" s="132">
        <v>100</v>
      </c>
      <c r="J147" s="133">
        <v>0</v>
      </c>
      <c r="K147" s="134" t="s">
        <v>935</v>
      </c>
      <c r="L147" s="134"/>
      <c r="M147" s="134"/>
      <c r="N147" s="135" t="s">
        <v>350</v>
      </c>
      <c r="O147" s="136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402"/>
    </row>
    <row r="148" spans="1:40" ht="10.9" customHeight="1">
      <c r="A148" s="433" t="s">
        <v>625</v>
      </c>
      <c r="B148" s="424" t="s">
        <v>843</v>
      </c>
      <c r="C148" s="137">
        <v>200</v>
      </c>
      <c r="D148" s="138" t="s">
        <v>25</v>
      </c>
      <c r="E148" s="139">
        <v>8</v>
      </c>
      <c r="F148" s="137">
        <v>0</v>
      </c>
      <c r="G148" s="140">
        <v>1</v>
      </c>
      <c r="H148" s="137">
        <v>150</v>
      </c>
      <c r="I148" s="140">
        <v>100</v>
      </c>
      <c r="J148" s="141">
        <v>0</v>
      </c>
      <c r="K148" s="140" t="s">
        <v>936</v>
      </c>
      <c r="L148" s="140"/>
      <c r="M148" s="140"/>
      <c r="N148" s="137" t="s">
        <v>320</v>
      </c>
      <c r="O148" s="142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40"/>
      <c r="AF148" s="140"/>
      <c r="AG148" s="140"/>
      <c r="AH148" s="140"/>
      <c r="AI148" s="140"/>
      <c r="AJ148" s="140"/>
      <c r="AK148" s="140"/>
      <c r="AL148" s="140"/>
      <c r="AM148" s="140"/>
      <c r="AN148" s="403"/>
    </row>
    <row r="149" spans="1:40" ht="10.9" customHeight="1">
      <c r="A149" s="433" t="s">
        <v>937</v>
      </c>
      <c r="B149" s="426" t="s">
        <v>938</v>
      </c>
      <c r="C149" s="147">
        <v>1000</v>
      </c>
      <c r="D149" s="148" t="s">
        <v>25</v>
      </c>
      <c r="E149" s="149">
        <v>24</v>
      </c>
      <c r="F149" s="147">
        <v>0</v>
      </c>
      <c r="G149" s="150">
        <v>5</v>
      </c>
      <c r="H149" s="147">
        <v>150</v>
      </c>
      <c r="I149" s="150">
        <v>100</v>
      </c>
      <c r="J149" s="151">
        <v>0</v>
      </c>
      <c r="K149" s="150" t="s">
        <v>939</v>
      </c>
      <c r="L149" s="150"/>
      <c r="M149" s="150"/>
      <c r="N149" s="147" t="s">
        <v>320</v>
      </c>
      <c r="O149" s="152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  <c r="AH149" s="150"/>
      <c r="AI149" s="150"/>
      <c r="AJ149" s="150"/>
      <c r="AK149" s="150"/>
      <c r="AL149" s="150"/>
      <c r="AM149" s="150"/>
      <c r="AN149" s="407"/>
    </row>
    <row r="150" spans="1:40" ht="10.9" customHeight="1">
      <c r="A150" s="433" t="s">
        <v>863</v>
      </c>
      <c r="B150" s="427" t="s">
        <v>678</v>
      </c>
      <c r="C150" s="153">
        <v>100</v>
      </c>
      <c r="D150" s="154" t="s">
        <v>25</v>
      </c>
      <c r="E150" s="155">
        <v>5</v>
      </c>
      <c r="F150" s="153">
        <v>0</v>
      </c>
      <c r="G150" s="156">
        <v>0</v>
      </c>
      <c r="H150" s="153">
        <v>150</v>
      </c>
      <c r="I150" s="156">
        <v>100</v>
      </c>
      <c r="J150" s="157">
        <v>0</v>
      </c>
      <c r="K150" s="158" t="s">
        <v>940</v>
      </c>
      <c r="L150" s="158"/>
      <c r="M150" s="158"/>
      <c r="N150" s="159" t="s">
        <v>1270</v>
      </c>
      <c r="O150" s="160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408"/>
    </row>
    <row r="151" spans="1:40" ht="10.9" customHeight="1">
      <c r="A151" s="433" t="s">
        <v>910</v>
      </c>
      <c r="B151" s="422" t="s">
        <v>812</v>
      </c>
      <c r="C151" s="124">
        <v>150</v>
      </c>
      <c r="D151" s="125" t="s">
        <v>25</v>
      </c>
      <c r="E151" s="126">
        <v>10</v>
      </c>
      <c r="F151" s="124">
        <v>0</v>
      </c>
      <c r="G151" s="127">
        <v>0</v>
      </c>
      <c r="H151" s="124">
        <v>150</v>
      </c>
      <c r="I151" s="127">
        <v>100</v>
      </c>
      <c r="J151" s="399">
        <v>0</v>
      </c>
      <c r="K151" s="163" t="s">
        <v>941</v>
      </c>
      <c r="L151" s="163"/>
      <c r="M151" s="163"/>
      <c r="N151" s="128" t="s">
        <v>1270</v>
      </c>
      <c r="O151" s="400"/>
      <c r="P151" s="127"/>
      <c r="Q151" s="127"/>
      <c r="R151" s="127"/>
      <c r="S151" s="127"/>
      <c r="T151" s="127"/>
      <c r="U151" s="127"/>
      <c r="V151" s="127"/>
      <c r="W151" s="127"/>
      <c r="X151" s="127"/>
      <c r="Y151" s="127"/>
      <c r="Z151" s="127"/>
      <c r="AA151" s="127"/>
      <c r="AB151" s="127"/>
      <c r="AC151" s="127"/>
      <c r="AD151" s="127"/>
      <c r="AE151" s="127"/>
      <c r="AF151" s="127"/>
      <c r="AG151" s="127"/>
      <c r="AH151" s="127"/>
      <c r="AI151" s="127"/>
      <c r="AJ151" s="127"/>
      <c r="AK151" s="127"/>
      <c r="AL151" s="127"/>
      <c r="AM151" s="127"/>
      <c r="AN151" s="401"/>
    </row>
    <row r="152" spans="1:40" ht="10.9" customHeight="1">
      <c r="A152" s="433" t="s">
        <v>942</v>
      </c>
      <c r="B152" s="423" t="s">
        <v>943</v>
      </c>
      <c r="C152" s="129">
        <v>1500</v>
      </c>
      <c r="D152" s="130" t="s">
        <v>25</v>
      </c>
      <c r="E152" s="131">
        <v>30</v>
      </c>
      <c r="F152" s="129">
        <v>0</v>
      </c>
      <c r="G152" s="132">
        <v>0</v>
      </c>
      <c r="H152" s="129">
        <v>150</v>
      </c>
      <c r="I152" s="132">
        <v>100</v>
      </c>
      <c r="J152" s="133">
        <v>0</v>
      </c>
      <c r="K152" s="134" t="s">
        <v>944</v>
      </c>
      <c r="L152" s="134"/>
      <c r="M152" s="134"/>
      <c r="N152" s="135" t="s">
        <v>1270</v>
      </c>
      <c r="O152" s="136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  <c r="AJ152" s="132"/>
      <c r="AK152" s="132"/>
      <c r="AL152" s="132"/>
      <c r="AM152" s="132"/>
      <c r="AN152" s="402"/>
    </row>
    <row r="153" spans="1:40" ht="10.9" customHeight="1">
      <c r="A153" s="433" t="s">
        <v>945</v>
      </c>
      <c r="B153" s="424" t="s">
        <v>814</v>
      </c>
      <c r="C153" s="137">
        <v>300</v>
      </c>
      <c r="D153" s="138" t="s">
        <v>25</v>
      </c>
      <c r="E153" s="139">
        <v>10</v>
      </c>
      <c r="F153" s="137">
        <v>15</v>
      </c>
      <c r="G153" s="140">
        <v>0</v>
      </c>
      <c r="H153" s="137">
        <v>150</v>
      </c>
      <c r="I153" s="140">
        <v>100</v>
      </c>
      <c r="J153" s="141">
        <v>1</v>
      </c>
      <c r="K153" s="140" t="s">
        <v>946</v>
      </c>
      <c r="L153" s="140"/>
      <c r="M153" s="140"/>
      <c r="N153" s="137" t="s">
        <v>1270</v>
      </c>
      <c r="O153" s="142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40"/>
      <c r="AF153" s="140"/>
      <c r="AG153" s="140"/>
      <c r="AH153" s="140"/>
      <c r="AI153" s="140"/>
      <c r="AJ153" s="140"/>
      <c r="AK153" s="140"/>
      <c r="AL153" s="140"/>
      <c r="AM153" s="140"/>
      <c r="AN153" s="403"/>
    </row>
    <row r="154" spans="1:40" ht="10.9" customHeight="1">
      <c r="A154" s="433" t="s">
        <v>947</v>
      </c>
      <c r="B154" s="426" t="s">
        <v>948</v>
      </c>
      <c r="C154" s="147">
        <v>600</v>
      </c>
      <c r="D154" s="148" t="s">
        <v>25</v>
      </c>
      <c r="E154" s="149">
        <v>20</v>
      </c>
      <c r="F154" s="147">
        <v>15</v>
      </c>
      <c r="G154" s="150">
        <v>0</v>
      </c>
      <c r="H154" s="147">
        <v>150</v>
      </c>
      <c r="I154" s="150">
        <v>100</v>
      </c>
      <c r="J154" s="151">
        <v>1</v>
      </c>
      <c r="K154" s="150" t="s">
        <v>949</v>
      </c>
      <c r="L154" s="150"/>
      <c r="M154" s="150"/>
      <c r="N154" s="147" t="s">
        <v>1270</v>
      </c>
      <c r="O154" s="152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  <c r="AH154" s="150"/>
      <c r="AI154" s="150"/>
      <c r="AJ154" s="150"/>
      <c r="AK154" s="150"/>
      <c r="AL154" s="150"/>
      <c r="AM154" s="150"/>
      <c r="AN154" s="407"/>
    </row>
    <row r="155" spans="1:40" ht="10.9" customHeight="1">
      <c r="A155" s="433" t="s">
        <v>950</v>
      </c>
      <c r="B155" s="427" t="s">
        <v>687</v>
      </c>
      <c r="C155" s="153">
        <v>300</v>
      </c>
      <c r="D155" s="154">
        <v>100</v>
      </c>
      <c r="E155" s="155">
        <v>7</v>
      </c>
      <c r="F155" s="153">
        <v>15</v>
      </c>
      <c r="G155" s="156">
        <v>15</v>
      </c>
      <c r="H155" s="153">
        <v>150</v>
      </c>
      <c r="I155" s="156">
        <v>100</v>
      </c>
      <c r="J155" s="157">
        <v>1</v>
      </c>
      <c r="K155" s="158" t="s">
        <v>951</v>
      </c>
      <c r="L155" s="158"/>
      <c r="M155" s="158"/>
      <c r="N155" s="159" t="s">
        <v>315</v>
      </c>
      <c r="O155" s="160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408"/>
    </row>
    <row r="156" spans="1:40" ht="10.9" customHeight="1">
      <c r="A156" s="433" t="s">
        <v>78</v>
      </c>
      <c r="B156" s="422" t="s">
        <v>880</v>
      </c>
      <c r="C156" s="124">
        <v>600</v>
      </c>
      <c r="D156" s="125">
        <v>100</v>
      </c>
      <c r="E156" s="126">
        <v>14</v>
      </c>
      <c r="F156" s="124">
        <v>15</v>
      </c>
      <c r="G156" s="127">
        <v>15</v>
      </c>
      <c r="H156" s="124">
        <v>150</v>
      </c>
      <c r="I156" s="127">
        <v>100</v>
      </c>
      <c r="J156" s="399">
        <v>1</v>
      </c>
      <c r="K156" s="163" t="s">
        <v>952</v>
      </c>
      <c r="L156" s="163"/>
      <c r="M156" s="163"/>
      <c r="N156" s="128" t="s">
        <v>315</v>
      </c>
      <c r="O156" s="400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401"/>
    </row>
    <row r="157" spans="1:40" ht="10.9" customHeight="1">
      <c r="A157" s="433" t="s">
        <v>79</v>
      </c>
      <c r="B157" s="423" t="s">
        <v>953</v>
      </c>
      <c r="C157" s="129">
        <v>900</v>
      </c>
      <c r="D157" s="130">
        <v>100</v>
      </c>
      <c r="E157" s="131">
        <v>21</v>
      </c>
      <c r="F157" s="129">
        <v>15</v>
      </c>
      <c r="G157" s="132">
        <v>15</v>
      </c>
      <c r="H157" s="129">
        <v>150</v>
      </c>
      <c r="I157" s="132">
        <v>100</v>
      </c>
      <c r="J157" s="133">
        <v>1</v>
      </c>
      <c r="K157" s="134" t="s">
        <v>954</v>
      </c>
      <c r="L157" s="134"/>
      <c r="M157" s="134"/>
      <c r="N157" s="135" t="s">
        <v>315</v>
      </c>
      <c r="O157" s="136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32"/>
      <c r="AN157" s="402"/>
    </row>
    <row r="158" spans="1:40" ht="10.9" customHeight="1">
      <c r="A158" s="433" t="s">
        <v>955</v>
      </c>
      <c r="B158" s="424" t="s">
        <v>956</v>
      </c>
      <c r="C158" s="137">
        <v>1500</v>
      </c>
      <c r="D158" s="138" t="s">
        <v>25</v>
      </c>
      <c r="E158" s="139">
        <v>24</v>
      </c>
      <c r="F158" s="137">
        <v>15</v>
      </c>
      <c r="G158" s="140">
        <v>0</v>
      </c>
      <c r="H158" s="137">
        <v>100</v>
      </c>
      <c r="I158" s="140">
        <v>150</v>
      </c>
      <c r="J158" s="141">
        <v>1</v>
      </c>
      <c r="K158" s="140" t="s">
        <v>957</v>
      </c>
      <c r="L158" s="140"/>
      <c r="M158" s="140"/>
      <c r="N158" s="137" t="s">
        <v>25</v>
      </c>
      <c r="O158" s="142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403"/>
    </row>
    <row r="159" spans="1:40" ht="10.9" customHeight="1">
      <c r="A159" s="433" t="s">
        <v>958</v>
      </c>
      <c r="B159" s="426" t="s">
        <v>959</v>
      </c>
      <c r="C159" s="147">
        <v>2500</v>
      </c>
      <c r="D159" s="148" t="s">
        <v>25</v>
      </c>
      <c r="E159" s="149">
        <v>28</v>
      </c>
      <c r="F159" s="147">
        <v>15</v>
      </c>
      <c r="G159" s="150">
        <v>0</v>
      </c>
      <c r="H159" s="147">
        <v>100</v>
      </c>
      <c r="I159" s="150">
        <v>150</v>
      </c>
      <c r="J159" s="151">
        <v>2</v>
      </c>
      <c r="K159" s="150" t="s">
        <v>960</v>
      </c>
      <c r="L159" s="150"/>
      <c r="M159" s="150"/>
      <c r="N159" s="147" t="s">
        <v>25</v>
      </c>
      <c r="O159" s="152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  <c r="AH159" s="150"/>
      <c r="AI159" s="150"/>
      <c r="AJ159" s="150"/>
      <c r="AK159" s="150"/>
      <c r="AL159" s="150"/>
      <c r="AM159" s="150"/>
      <c r="AN159" s="407"/>
    </row>
    <row r="160" spans="1:40" ht="10.9" customHeight="1">
      <c r="A160" s="434" t="s">
        <v>961</v>
      </c>
      <c r="B160" s="427" t="s">
        <v>962</v>
      </c>
      <c r="C160" s="153">
        <v>1200</v>
      </c>
      <c r="D160" s="154">
        <v>100</v>
      </c>
      <c r="E160" s="155">
        <v>18</v>
      </c>
      <c r="F160" s="153">
        <v>15</v>
      </c>
      <c r="G160" s="156">
        <v>10</v>
      </c>
      <c r="H160" s="153" t="s">
        <v>622</v>
      </c>
      <c r="I160" s="156">
        <v>150</v>
      </c>
      <c r="J160" s="157">
        <v>0</v>
      </c>
      <c r="K160" s="158" t="s">
        <v>963</v>
      </c>
      <c r="L160" s="158"/>
      <c r="M160" s="158"/>
      <c r="N160" s="159" t="s">
        <v>305</v>
      </c>
      <c r="O160" s="160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408"/>
    </row>
    <row r="161" spans="1:40" ht="10.9" customHeight="1">
      <c r="A161" s="434" t="s">
        <v>964</v>
      </c>
      <c r="B161" s="423" t="s">
        <v>965</v>
      </c>
      <c r="C161" s="129">
        <v>3600</v>
      </c>
      <c r="D161" s="130">
        <v>300</v>
      </c>
      <c r="E161" s="131">
        <v>28</v>
      </c>
      <c r="F161" s="129">
        <v>15</v>
      </c>
      <c r="G161" s="132">
        <v>10</v>
      </c>
      <c r="H161" s="129" t="s">
        <v>622</v>
      </c>
      <c r="I161" s="132">
        <v>150</v>
      </c>
      <c r="J161" s="133">
        <v>0</v>
      </c>
      <c r="K161" s="134" t="s">
        <v>966</v>
      </c>
      <c r="L161" s="134"/>
      <c r="M161" s="134"/>
      <c r="N161" s="135" t="s">
        <v>305</v>
      </c>
      <c r="O161" s="136" t="s">
        <v>319</v>
      </c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  <c r="AH161" s="132"/>
      <c r="AI161" s="132"/>
      <c r="AJ161" s="132"/>
      <c r="AK161" s="132"/>
      <c r="AL161" s="132"/>
      <c r="AM161" s="132"/>
      <c r="AN161" s="402"/>
    </row>
    <row r="162" spans="1:40" ht="10.9" customHeight="1">
      <c r="A162" s="433" t="s">
        <v>967</v>
      </c>
      <c r="B162" s="424" t="s">
        <v>968</v>
      </c>
      <c r="C162" s="137">
        <v>2400</v>
      </c>
      <c r="D162" s="138">
        <v>100</v>
      </c>
      <c r="E162" s="139">
        <v>20</v>
      </c>
      <c r="F162" s="137">
        <v>15</v>
      </c>
      <c r="G162" s="140">
        <v>10</v>
      </c>
      <c r="H162" s="137">
        <v>150</v>
      </c>
      <c r="I162" s="140">
        <v>100</v>
      </c>
      <c r="J162" s="141">
        <v>1</v>
      </c>
      <c r="K162" s="140" t="s">
        <v>969</v>
      </c>
      <c r="L162" s="140"/>
      <c r="M162" s="140"/>
      <c r="N162" s="137" t="s">
        <v>337</v>
      </c>
      <c r="O162" s="142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40"/>
      <c r="AF162" s="140"/>
      <c r="AG162" s="140"/>
      <c r="AH162" s="140"/>
      <c r="AI162" s="140"/>
      <c r="AJ162" s="140"/>
      <c r="AK162" s="140"/>
      <c r="AL162" s="140"/>
      <c r="AM162" s="140"/>
      <c r="AN162" s="403"/>
    </row>
    <row r="163" spans="1:40" ht="10.9" customHeight="1">
      <c r="A163" s="433" t="s">
        <v>1263</v>
      </c>
      <c r="B163" s="426" t="s">
        <v>970</v>
      </c>
      <c r="C163" s="147">
        <v>7200</v>
      </c>
      <c r="D163" s="148">
        <v>300</v>
      </c>
      <c r="E163" s="149">
        <v>30</v>
      </c>
      <c r="F163" s="147">
        <v>15</v>
      </c>
      <c r="G163" s="150">
        <v>15</v>
      </c>
      <c r="H163" s="147">
        <v>150</v>
      </c>
      <c r="I163" s="150">
        <v>100</v>
      </c>
      <c r="J163" s="151">
        <v>0</v>
      </c>
      <c r="K163" s="150" t="s">
        <v>971</v>
      </c>
      <c r="L163" s="150"/>
      <c r="M163" s="150"/>
      <c r="N163" s="147" t="s">
        <v>337</v>
      </c>
      <c r="O163" s="152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50"/>
      <c r="AN163" s="407"/>
    </row>
    <row r="164" spans="1:40" ht="10.9" customHeight="1">
      <c r="A164" s="432" t="s">
        <v>972</v>
      </c>
      <c r="B164" s="427" t="s">
        <v>973</v>
      </c>
      <c r="C164" s="153">
        <v>500</v>
      </c>
      <c r="D164" s="154" t="s">
        <v>25</v>
      </c>
      <c r="E164" s="155">
        <v>18</v>
      </c>
      <c r="F164" s="153">
        <v>15</v>
      </c>
      <c r="G164" s="156">
        <v>1</v>
      </c>
      <c r="H164" s="153">
        <v>100</v>
      </c>
      <c r="I164" s="156">
        <v>100</v>
      </c>
      <c r="J164" s="157">
        <v>2</v>
      </c>
      <c r="K164" s="158" t="s">
        <v>974</v>
      </c>
      <c r="L164" s="158"/>
      <c r="M164" s="158"/>
      <c r="N164" s="159" t="s">
        <v>350</v>
      </c>
      <c r="O164" s="160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156"/>
      <c r="AC164" s="156"/>
      <c r="AD164" s="156"/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408"/>
    </row>
    <row r="165" spans="1:40" ht="10.9" customHeight="1">
      <c r="A165" s="433" t="s">
        <v>1263</v>
      </c>
      <c r="B165" s="423" t="s">
        <v>975</v>
      </c>
      <c r="C165" s="129">
        <v>2500</v>
      </c>
      <c r="D165" s="130" t="s">
        <v>25</v>
      </c>
      <c r="E165" s="131">
        <v>27</v>
      </c>
      <c r="F165" s="129">
        <v>15</v>
      </c>
      <c r="G165" s="132">
        <v>15</v>
      </c>
      <c r="H165" s="129">
        <v>100</v>
      </c>
      <c r="I165" s="132">
        <v>100</v>
      </c>
      <c r="J165" s="133">
        <v>2</v>
      </c>
      <c r="K165" s="134" t="s">
        <v>976</v>
      </c>
      <c r="L165" s="134"/>
      <c r="M165" s="134"/>
      <c r="N165" s="135" t="s">
        <v>350</v>
      </c>
      <c r="O165" s="136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402"/>
    </row>
    <row r="166" spans="1:40" ht="10.9" customHeight="1">
      <c r="A166" s="433" t="s">
        <v>764</v>
      </c>
      <c r="B166" s="424" t="s">
        <v>977</v>
      </c>
      <c r="C166" s="137">
        <v>600</v>
      </c>
      <c r="D166" s="138" t="s">
        <v>25</v>
      </c>
      <c r="E166" s="139">
        <v>20</v>
      </c>
      <c r="F166" s="137">
        <v>15</v>
      </c>
      <c r="G166" s="140">
        <v>5</v>
      </c>
      <c r="H166" s="137">
        <v>100</v>
      </c>
      <c r="I166" s="140">
        <v>150</v>
      </c>
      <c r="J166" s="141">
        <v>1</v>
      </c>
      <c r="K166" s="140" t="s">
        <v>978</v>
      </c>
      <c r="L166" s="140"/>
      <c r="M166" s="140"/>
      <c r="N166" s="137" t="s">
        <v>351</v>
      </c>
      <c r="O166" s="142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40"/>
      <c r="AF166" s="140"/>
      <c r="AG166" s="140"/>
      <c r="AH166" s="140"/>
      <c r="AI166" s="140"/>
      <c r="AJ166" s="140"/>
      <c r="AK166" s="140"/>
      <c r="AL166" s="140"/>
      <c r="AM166" s="140"/>
      <c r="AN166" s="403"/>
    </row>
    <row r="167" spans="1:40" ht="10.9" customHeight="1">
      <c r="A167" s="433" t="s">
        <v>744</v>
      </c>
      <c r="B167" s="426" t="s">
        <v>979</v>
      </c>
      <c r="C167" s="147">
        <v>1800</v>
      </c>
      <c r="D167" s="148" t="s">
        <v>25</v>
      </c>
      <c r="E167" s="149">
        <v>25</v>
      </c>
      <c r="F167" s="147">
        <v>15</v>
      </c>
      <c r="G167" s="150">
        <v>10</v>
      </c>
      <c r="H167" s="147">
        <v>100</v>
      </c>
      <c r="I167" s="150">
        <v>150</v>
      </c>
      <c r="J167" s="151">
        <v>1</v>
      </c>
      <c r="K167" s="150" t="s">
        <v>980</v>
      </c>
      <c r="L167" s="150"/>
      <c r="M167" s="150"/>
      <c r="N167" s="147" t="s">
        <v>351</v>
      </c>
      <c r="O167" s="152" t="s">
        <v>356</v>
      </c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50"/>
      <c r="AN167" s="407"/>
    </row>
    <row r="168" spans="1:40" ht="10.9" customHeight="1">
      <c r="A168" s="433" t="s">
        <v>839</v>
      </c>
      <c r="B168" s="427" t="s">
        <v>981</v>
      </c>
      <c r="C168" s="153">
        <v>1200</v>
      </c>
      <c r="D168" s="154" t="s">
        <v>25</v>
      </c>
      <c r="E168" s="155">
        <v>21</v>
      </c>
      <c r="F168" s="153">
        <v>15</v>
      </c>
      <c r="G168" s="156">
        <v>0</v>
      </c>
      <c r="H168" s="153">
        <v>100</v>
      </c>
      <c r="I168" s="156">
        <v>150</v>
      </c>
      <c r="J168" s="157">
        <v>0</v>
      </c>
      <c r="K168" s="158" t="s">
        <v>982</v>
      </c>
      <c r="L168" s="158"/>
      <c r="M168" s="158"/>
      <c r="N168" s="159" t="s">
        <v>25</v>
      </c>
      <c r="O168" s="160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6"/>
      <c r="AM168" s="156"/>
      <c r="AN168" s="408"/>
    </row>
    <row r="169" spans="1:40" ht="10.9" customHeight="1">
      <c r="A169" s="433" t="s">
        <v>768</v>
      </c>
      <c r="B169" s="423" t="s">
        <v>983</v>
      </c>
      <c r="C169" s="129">
        <v>2400</v>
      </c>
      <c r="D169" s="130" t="s">
        <v>25</v>
      </c>
      <c r="E169" s="131">
        <v>28</v>
      </c>
      <c r="F169" s="129">
        <v>15</v>
      </c>
      <c r="G169" s="132">
        <v>0</v>
      </c>
      <c r="H169" s="129">
        <v>100</v>
      </c>
      <c r="I169" s="132">
        <v>150</v>
      </c>
      <c r="J169" s="133">
        <v>0</v>
      </c>
      <c r="K169" s="134" t="s">
        <v>984</v>
      </c>
      <c r="L169" s="134"/>
      <c r="M169" s="134"/>
      <c r="N169" s="135" t="s">
        <v>25</v>
      </c>
      <c r="O169" s="136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32"/>
      <c r="AN169" s="402"/>
    </row>
    <row r="170" spans="1:40" ht="10.9" customHeight="1">
      <c r="A170" s="433" t="s">
        <v>779</v>
      </c>
      <c r="B170" s="424" t="s">
        <v>985</v>
      </c>
      <c r="C170" s="137">
        <v>1600</v>
      </c>
      <c r="D170" s="138" t="s">
        <v>25</v>
      </c>
      <c r="E170" s="139">
        <v>24</v>
      </c>
      <c r="F170" s="137">
        <v>15</v>
      </c>
      <c r="G170" s="140">
        <v>0</v>
      </c>
      <c r="H170" s="137">
        <v>100</v>
      </c>
      <c r="I170" s="140">
        <v>150</v>
      </c>
      <c r="J170" s="141">
        <v>1</v>
      </c>
      <c r="K170" s="140" t="s">
        <v>986</v>
      </c>
      <c r="L170" s="140" t="s">
        <v>1274</v>
      </c>
      <c r="M170" s="140"/>
      <c r="N170" s="137" t="s">
        <v>1270</v>
      </c>
      <c r="O170" s="142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40"/>
      <c r="AF170" s="140"/>
      <c r="AG170" s="140"/>
      <c r="AH170" s="140"/>
      <c r="AI170" s="140"/>
      <c r="AJ170" s="140"/>
      <c r="AK170" s="140"/>
      <c r="AL170" s="140"/>
      <c r="AM170" s="140"/>
      <c r="AN170" s="403"/>
    </row>
    <row r="171" spans="1:40" ht="10.9" customHeight="1">
      <c r="A171" s="433" t="s">
        <v>628</v>
      </c>
      <c r="B171" s="426" t="s">
        <v>987</v>
      </c>
      <c r="C171" s="147">
        <v>3200</v>
      </c>
      <c r="D171" s="148" t="s">
        <v>25</v>
      </c>
      <c r="E171" s="149">
        <v>28</v>
      </c>
      <c r="F171" s="147">
        <v>15</v>
      </c>
      <c r="G171" s="150">
        <v>0</v>
      </c>
      <c r="H171" s="147">
        <v>100</v>
      </c>
      <c r="I171" s="150">
        <v>150</v>
      </c>
      <c r="J171" s="151">
        <v>1</v>
      </c>
      <c r="K171" s="150" t="s">
        <v>988</v>
      </c>
      <c r="L171" s="150" t="s">
        <v>1274</v>
      </c>
      <c r="M171" s="150"/>
      <c r="N171" s="147" t="s">
        <v>1270</v>
      </c>
      <c r="O171" s="152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50"/>
      <c r="AN171" s="407"/>
    </row>
    <row r="172" spans="1:40" ht="10.9" customHeight="1">
      <c r="A172" s="433" t="s">
        <v>989</v>
      </c>
      <c r="B172" s="427" t="s">
        <v>990</v>
      </c>
      <c r="C172" s="153">
        <v>2400</v>
      </c>
      <c r="D172" s="154" t="s">
        <v>25</v>
      </c>
      <c r="E172" s="155">
        <v>24</v>
      </c>
      <c r="F172" s="153">
        <v>60</v>
      </c>
      <c r="G172" s="156">
        <v>0</v>
      </c>
      <c r="H172" s="153">
        <v>100</v>
      </c>
      <c r="I172" s="156">
        <v>100</v>
      </c>
      <c r="J172" s="157">
        <v>1</v>
      </c>
      <c r="K172" s="158" t="s">
        <v>991</v>
      </c>
      <c r="L172" s="158" t="s">
        <v>354</v>
      </c>
      <c r="M172" s="158"/>
      <c r="N172" s="159" t="s">
        <v>25</v>
      </c>
      <c r="O172" s="160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156"/>
      <c r="AC172" s="156"/>
      <c r="AD172" s="156"/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408"/>
    </row>
    <row r="173" spans="1:40" ht="10.9" customHeight="1">
      <c r="A173" s="433" t="s">
        <v>1263</v>
      </c>
      <c r="B173" s="423" t="s">
        <v>992</v>
      </c>
      <c r="C173" s="129">
        <v>4800</v>
      </c>
      <c r="D173" s="130" t="s">
        <v>25</v>
      </c>
      <c r="E173" s="131">
        <v>27</v>
      </c>
      <c r="F173" s="129">
        <v>60</v>
      </c>
      <c r="G173" s="132">
        <v>0</v>
      </c>
      <c r="H173" s="129">
        <v>100</v>
      </c>
      <c r="I173" s="132">
        <v>100</v>
      </c>
      <c r="J173" s="133">
        <v>1</v>
      </c>
      <c r="K173" s="134" t="s">
        <v>993</v>
      </c>
      <c r="L173" s="134" t="s">
        <v>354</v>
      </c>
      <c r="M173" s="134"/>
      <c r="N173" s="135" t="s">
        <v>25</v>
      </c>
      <c r="O173" s="136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2"/>
      <c r="AE173" s="132"/>
      <c r="AF173" s="132"/>
      <c r="AG173" s="132"/>
      <c r="AH173" s="132"/>
      <c r="AI173" s="132"/>
      <c r="AJ173" s="132"/>
      <c r="AK173" s="132"/>
      <c r="AL173" s="132"/>
      <c r="AM173" s="132"/>
      <c r="AN173" s="402"/>
    </row>
    <row r="174" spans="1:40" ht="10.9" customHeight="1">
      <c r="A174" s="432" t="s">
        <v>994</v>
      </c>
      <c r="B174" s="424" t="s">
        <v>995</v>
      </c>
      <c r="C174" s="137">
        <v>2500</v>
      </c>
      <c r="D174" s="138" t="s">
        <v>25</v>
      </c>
      <c r="E174" s="139">
        <v>18</v>
      </c>
      <c r="F174" s="137">
        <v>15</v>
      </c>
      <c r="G174" s="140">
        <v>5</v>
      </c>
      <c r="H174" s="137">
        <v>150</v>
      </c>
      <c r="I174" s="140">
        <v>100</v>
      </c>
      <c r="J174" s="141">
        <v>3</v>
      </c>
      <c r="K174" s="140" t="s">
        <v>996</v>
      </c>
      <c r="L174" s="140"/>
      <c r="M174" s="140"/>
      <c r="N174" s="137" t="s">
        <v>348</v>
      </c>
      <c r="O174" s="142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40"/>
      <c r="AF174" s="140"/>
      <c r="AG174" s="140"/>
      <c r="AH174" s="140"/>
      <c r="AI174" s="140"/>
      <c r="AJ174" s="140"/>
      <c r="AK174" s="140"/>
      <c r="AL174" s="140"/>
      <c r="AM174" s="140"/>
      <c r="AN174" s="403"/>
    </row>
    <row r="175" spans="1:40" ht="10.9" customHeight="1">
      <c r="A175" s="433" t="s">
        <v>1263</v>
      </c>
      <c r="B175" s="426" t="s">
        <v>997</v>
      </c>
      <c r="C175" s="147">
        <v>5000</v>
      </c>
      <c r="D175" s="148" t="s">
        <v>25</v>
      </c>
      <c r="E175" s="149">
        <v>28</v>
      </c>
      <c r="F175" s="147">
        <v>15</v>
      </c>
      <c r="G175" s="150">
        <v>10</v>
      </c>
      <c r="H175" s="147">
        <v>150</v>
      </c>
      <c r="I175" s="150">
        <v>100</v>
      </c>
      <c r="J175" s="151">
        <v>3</v>
      </c>
      <c r="K175" s="150" t="s">
        <v>998</v>
      </c>
      <c r="L175" s="150"/>
      <c r="M175" s="150"/>
      <c r="N175" s="147" t="s">
        <v>324</v>
      </c>
      <c r="O175" s="152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  <c r="AH175" s="150"/>
      <c r="AI175" s="150"/>
      <c r="AJ175" s="150"/>
      <c r="AK175" s="150"/>
      <c r="AL175" s="150"/>
      <c r="AM175" s="150"/>
      <c r="AN175" s="407"/>
    </row>
    <row r="176" spans="1:40" ht="10.9" customHeight="1">
      <c r="A176" s="433" t="s">
        <v>925</v>
      </c>
      <c r="B176" s="427" t="s">
        <v>999</v>
      </c>
      <c r="C176" s="153">
        <v>6000</v>
      </c>
      <c r="D176" s="154" t="s">
        <v>25</v>
      </c>
      <c r="E176" s="155">
        <v>25</v>
      </c>
      <c r="F176" s="153">
        <v>30</v>
      </c>
      <c r="G176" s="156">
        <v>5</v>
      </c>
      <c r="H176" s="153">
        <v>100</v>
      </c>
      <c r="I176" s="156">
        <v>150</v>
      </c>
      <c r="J176" s="157">
        <v>2</v>
      </c>
      <c r="K176" s="158" t="s">
        <v>1000</v>
      </c>
      <c r="L176" s="158"/>
      <c r="M176" s="158"/>
      <c r="N176" s="159" t="s">
        <v>335</v>
      </c>
      <c r="O176" s="160" t="s">
        <v>347</v>
      </c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156"/>
      <c r="AC176" s="156"/>
      <c r="AD176" s="156"/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408"/>
    </row>
    <row r="177" spans="1:40" ht="10.9" customHeight="1">
      <c r="A177" s="433" t="s">
        <v>1001</v>
      </c>
      <c r="B177" s="423" t="s">
        <v>1002</v>
      </c>
      <c r="C177" s="129">
        <v>8000</v>
      </c>
      <c r="D177" s="130" t="s">
        <v>25</v>
      </c>
      <c r="E177" s="131">
        <v>30</v>
      </c>
      <c r="F177" s="129">
        <v>30</v>
      </c>
      <c r="G177" s="132">
        <v>10</v>
      </c>
      <c r="H177" s="129">
        <v>100</v>
      </c>
      <c r="I177" s="132">
        <v>150</v>
      </c>
      <c r="J177" s="133">
        <v>2</v>
      </c>
      <c r="K177" s="134" t="s">
        <v>1003</v>
      </c>
      <c r="L177" s="134"/>
      <c r="M177" s="134"/>
      <c r="N177" s="135" t="s">
        <v>334</v>
      </c>
      <c r="O177" s="136" t="s">
        <v>347</v>
      </c>
      <c r="P177" s="132" t="s">
        <v>349</v>
      </c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  <c r="AH177" s="132"/>
      <c r="AI177" s="132"/>
      <c r="AJ177" s="132"/>
      <c r="AK177" s="132"/>
      <c r="AL177" s="132"/>
      <c r="AM177" s="132"/>
      <c r="AN177" s="402"/>
    </row>
    <row r="178" spans="1:40" ht="10.9" customHeight="1">
      <c r="A178" s="433" t="s">
        <v>1004</v>
      </c>
      <c r="B178" s="424" t="s">
        <v>1005</v>
      </c>
      <c r="C178" s="137">
        <v>2500</v>
      </c>
      <c r="D178" s="138">
        <v>300</v>
      </c>
      <c r="E178" s="139">
        <v>21</v>
      </c>
      <c r="F178" s="137">
        <v>30</v>
      </c>
      <c r="G178" s="140">
        <v>5</v>
      </c>
      <c r="H178" s="137">
        <v>100</v>
      </c>
      <c r="I178" s="140">
        <v>150</v>
      </c>
      <c r="J178" s="141">
        <v>1</v>
      </c>
      <c r="K178" s="140" t="s">
        <v>1006</v>
      </c>
      <c r="L178" s="140"/>
      <c r="M178" s="140"/>
      <c r="N178" s="137" t="s">
        <v>283</v>
      </c>
      <c r="O178" s="142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40"/>
      <c r="AF178" s="140"/>
      <c r="AG178" s="140"/>
      <c r="AH178" s="140"/>
      <c r="AI178" s="140"/>
      <c r="AJ178" s="140"/>
      <c r="AK178" s="140"/>
      <c r="AL178" s="140"/>
      <c r="AM178" s="140"/>
      <c r="AN178" s="403"/>
    </row>
    <row r="179" spans="1:40" ht="10.9" customHeight="1">
      <c r="A179" s="433" t="s">
        <v>1263</v>
      </c>
      <c r="B179" s="426" t="s">
        <v>1007</v>
      </c>
      <c r="C179" s="147">
        <v>5000</v>
      </c>
      <c r="D179" s="148">
        <v>500</v>
      </c>
      <c r="E179" s="149">
        <v>28</v>
      </c>
      <c r="F179" s="147">
        <v>30</v>
      </c>
      <c r="G179" s="150">
        <v>10</v>
      </c>
      <c r="H179" s="147">
        <v>100</v>
      </c>
      <c r="I179" s="150">
        <v>150</v>
      </c>
      <c r="J179" s="151">
        <v>1</v>
      </c>
      <c r="K179" s="150" t="s">
        <v>1008</v>
      </c>
      <c r="L179" s="150"/>
      <c r="M179" s="150"/>
      <c r="N179" s="147" t="s">
        <v>283</v>
      </c>
      <c r="O179" s="152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  <c r="AH179" s="150"/>
      <c r="AI179" s="150"/>
      <c r="AJ179" s="150"/>
      <c r="AK179" s="150"/>
      <c r="AL179" s="150"/>
      <c r="AM179" s="150"/>
      <c r="AN179" s="407"/>
    </row>
    <row r="180" spans="1:40" ht="10.9" customHeight="1">
      <c r="A180" s="432" t="s">
        <v>1009</v>
      </c>
      <c r="B180" s="427" t="s">
        <v>1010</v>
      </c>
      <c r="C180" s="153">
        <v>1000</v>
      </c>
      <c r="D180" s="154" t="s">
        <v>25</v>
      </c>
      <c r="E180" s="155">
        <v>18</v>
      </c>
      <c r="F180" s="153">
        <v>15</v>
      </c>
      <c r="G180" s="156">
        <v>0</v>
      </c>
      <c r="H180" s="153" t="s">
        <v>622</v>
      </c>
      <c r="I180" s="156">
        <v>100</v>
      </c>
      <c r="J180" s="157">
        <v>1</v>
      </c>
      <c r="K180" s="158" t="s">
        <v>1011</v>
      </c>
      <c r="L180" s="158"/>
      <c r="M180" s="158"/>
      <c r="N180" s="159" t="s">
        <v>312</v>
      </c>
      <c r="O180" s="160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  <c r="AA180" s="156"/>
      <c r="AB180" s="156"/>
      <c r="AC180" s="156"/>
      <c r="AD180" s="156"/>
      <c r="AE180" s="156"/>
      <c r="AF180" s="156"/>
      <c r="AG180" s="156"/>
      <c r="AH180" s="156"/>
      <c r="AI180" s="156"/>
      <c r="AJ180" s="156"/>
      <c r="AK180" s="156"/>
      <c r="AL180" s="156"/>
      <c r="AM180" s="156"/>
      <c r="AN180" s="408"/>
    </row>
    <row r="181" spans="1:40" ht="10.9" customHeight="1">
      <c r="A181" s="433" t="s">
        <v>1263</v>
      </c>
      <c r="B181" s="423" t="s">
        <v>1012</v>
      </c>
      <c r="C181" s="129">
        <v>2000</v>
      </c>
      <c r="D181" s="130" t="s">
        <v>25</v>
      </c>
      <c r="E181" s="131">
        <v>28</v>
      </c>
      <c r="F181" s="129">
        <v>15</v>
      </c>
      <c r="G181" s="132">
        <v>0</v>
      </c>
      <c r="H181" s="129" t="s">
        <v>622</v>
      </c>
      <c r="I181" s="132">
        <v>100</v>
      </c>
      <c r="J181" s="133">
        <v>1</v>
      </c>
      <c r="K181" s="134" t="s">
        <v>1013</v>
      </c>
      <c r="L181" s="134"/>
      <c r="M181" s="134"/>
      <c r="N181" s="135" t="s">
        <v>312</v>
      </c>
      <c r="O181" s="136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32"/>
      <c r="AF181" s="132"/>
      <c r="AG181" s="132"/>
      <c r="AH181" s="132"/>
      <c r="AI181" s="132"/>
      <c r="AJ181" s="132"/>
      <c r="AK181" s="132"/>
      <c r="AL181" s="132"/>
      <c r="AM181" s="132"/>
      <c r="AN181" s="402"/>
    </row>
    <row r="182" spans="1:40" ht="10.9" customHeight="1">
      <c r="A182" s="433" t="s">
        <v>948</v>
      </c>
      <c r="B182" s="424" t="s">
        <v>1014</v>
      </c>
      <c r="C182" s="137">
        <v>900</v>
      </c>
      <c r="D182" s="138">
        <v>100</v>
      </c>
      <c r="E182" s="139">
        <v>25</v>
      </c>
      <c r="F182" s="137">
        <v>0</v>
      </c>
      <c r="G182" s="140">
        <v>15</v>
      </c>
      <c r="H182" s="137">
        <v>100</v>
      </c>
      <c r="I182" s="140" t="s">
        <v>623</v>
      </c>
      <c r="J182" s="141">
        <v>0</v>
      </c>
      <c r="K182" s="140" t="s">
        <v>1015</v>
      </c>
      <c r="L182" s="140"/>
      <c r="M182" s="140"/>
      <c r="N182" s="137" t="s">
        <v>275</v>
      </c>
      <c r="O182" s="142" t="s">
        <v>276</v>
      </c>
      <c r="P182" s="140" t="s">
        <v>281</v>
      </c>
      <c r="Q182" s="140" t="s">
        <v>282</v>
      </c>
      <c r="R182" s="140"/>
      <c r="S182" s="140"/>
      <c r="T182" s="140"/>
      <c r="U182" s="140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40"/>
      <c r="AF182" s="140"/>
      <c r="AG182" s="140"/>
      <c r="AH182" s="140"/>
      <c r="AI182" s="140"/>
      <c r="AJ182" s="140"/>
      <c r="AK182" s="140"/>
      <c r="AL182" s="140"/>
      <c r="AM182" s="140"/>
      <c r="AN182" s="403"/>
    </row>
    <row r="183" spans="1:40" ht="10.9" customHeight="1">
      <c r="A183" s="433" t="s">
        <v>1016</v>
      </c>
      <c r="B183" s="426" t="s">
        <v>1017</v>
      </c>
      <c r="C183" s="147">
        <v>1800</v>
      </c>
      <c r="D183" s="148">
        <v>300</v>
      </c>
      <c r="E183" s="149">
        <v>30</v>
      </c>
      <c r="F183" s="147">
        <v>0</v>
      </c>
      <c r="G183" s="150">
        <v>15</v>
      </c>
      <c r="H183" s="147">
        <v>100</v>
      </c>
      <c r="I183" s="150" t="s">
        <v>623</v>
      </c>
      <c r="J183" s="151">
        <v>0</v>
      </c>
      <c r="K183" s="150" t="s">
        <v>1018</v>
      </c>
      <c r="L183" s="150"/>
      <c r="M183" s="150"/>
      <c r="N183" s="147" t="s">
        <v>275</v>
      </c>
      <c r="O183" s="152" t="s">
        <v>276</v>
      </c>
      <c r="P183" s="150" t="s">
        <v>295</v>
      </c>
      <c r="Q183" s="150" t="s">
        <v>281</v>
      </c>
      <c r="R183" s="150" t="s">
        <v>282</v>
      </c>
      <c r="S183" s="150" t="s">
        <v>285</v>
      </c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  <c r="AI183" s="150"/>
      <c r="AJ183" s="150"/>
      <c r="AK183" s="150"/>
      <c r="AL183" s="150"/>
      <c r="AM183" s="150"/>
      <c r="AN183" s="407"/>
    </row>
    <row r="184" spans="1:40" ht="10.9" customHeight="1">
      <c r="A184" s="433" t="s">
        <v>1263</v>
      </c>
      <c r="B184" s="427" t="s">
        <v>1019</v>
      </c>
      <c r="C184" s="153">
        <v>800</v>
      </c>
      <c r="D184" s="154">
        <v>100</v>
      </c>
      <c r="E184" s="155">
        <v>21</v>
      </c>
      <c r="F184" s="153">
        <v>15</v>
      </c>
      <c r="G184" s="156">
        <v>0</v>
      </c>
      <c r="H184" s="153">
        <v>100</v>
      </c>
      <c r="I184" s="156">
        <v>150</v>
      </c>
      <c r="J184" s="157">
        <v>0</v>
      </c>
      <c r="K184" s="158" t="s">
        <v>1020</v>
      </c>
      <c r="L184" s="158"/>
      <c r="M184" s="158"/>
      <c r="N184" s="159" t="s">
        <v>25</v>
      </c>
      <c r="O184" s="160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408"/>
    </row>
    <row r="185" spans="1:40" ht="10.9" customHeight="1">
      <c r="A185" s="432" t="s">
        <v>1021</v>
      </c>
      <c r="B185" s="423" t="s">
        <v>1022</v>
      </c>
      <c r="C185" s="129">
        <v>2400</v>
      </c>
      <c r="D185" s="130">
        <v>300</v>
      </c>
      <c r="E185" s="131">
        <v>28</v>
      </c>
      <c r="F185" s="129">
        <v>15</v>
      </c>
      <c r="G185" s="132">
        <v>0</v>
      </c>
      <c r="H185" s="129">
        <v>100</v>
      </c>
      <c r="I185" s="132">
        <v>150</v>
      </c>
      <c r="J185" s="133">
        <v>0</v>
      </c>
      <c r="K185" s="134" t="s">
        <v>1023</v>
      </c>
      <c r="L185" s="134"/>
      <c r="M185" s="134"/>
      <c r="N185" s="135" t="s">
        <v>25</v>
      </c>
      <c r="O185" s="136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402"/>
    </row>
    <row r="186" spans="1:40" ht="10.9" customHeight="1">
      <c r="A186" s="433" t="s">
        <v>1263</v>
      </c>
      <c r="B186" s="424" t="s">
        <v>1024</v>
      </c>
      <c r="C186" s="137">
        <v>2400</v>
      </c>
      <c r="D186" s="138" t="s">
        <v>25</v>
      </c>
      <c r="E186" s="139">
        <v>25</v>
      </c>
      <c r="F186" s="137">
        <v>30</v>
      </c>
      <c r="G186" s="140">
        <v>0</v>
      </c>
      <c r="H186" s="137">
        <v>100</v>
      </c>
      <c r="I186" s="140">
        <v>150</v>
      </c>
      <c r="J186" s="141">
        <v>0</v>
      </c>
      <c r="K186" s="140" t="s">
        <v>1025</v>
      </c>
      <c r="L186" s="140"/>
      <c r="M186" s="140"/>
      <c r="N186" s="137" t="s">
        <v>349</v>
      </c>
      <c r="O186" s="142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40"/>
      <c r="AF186" s="140"/>
      <c r="AG186" s="140"/>
      <c r="AH186" s="140"/>
      <c r="AI186" s="140"/>
      <c r="AJ186" s="140"/>
      <c r="AK186" s="140"/>
      <c r="AL186" s="140"/>
      <c r="AM186" s="140"/>
      <c r="AN186" s="403"/>
    </row>
    <row r="187" spans="1:40" ht="10.9" customHeight="1">
      <c r="A187" s="433" t="s">
        <v>1026</v>
      </c>
      <c r="B187" s="426" t="s">
        <v>1027</v>
      </c>
      <c r="C187" s="147">
        <v>3600</v>
      </c>
      <c r="D187" s="148" t="s">
        <v>25</v>
      </c>
      <c r="E187" s="149">
        <v>30</v>
      </c>
      <c r="F187" s="147">
        <v>30</v>
      </c>
      <c r="G187" s="150">
        <v>0</v>
      </c>
      <c r="H187" s="147">
        <v>100</v>
      </c>
      <c r="I187" s="150">
        <v>150</v>
      </c>
      <c r="J187" s="151">
        <v>0</v>
      </c>
      <c r="K187" s="150" t="s">
        <v>1028</v>
      </c>
      <c r="L187" s="150"/>
      <c r="M187" s="150"/>
      <c r="N187" s="147" t="s">
        <v>349</v>
      </c>
      <c r="O187" s="152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  <c r="AH187" s="150"/>
      <c r="AI187" s="150"/>
      <c r="AJ187" s="150"/>
      <c r="AK187" s="150"/>
      <c r="AL187" s="150"/>
      <c r="AM187" s="150"/>
      <c r="AN187" s="407"/>
    </row>
    <row r="188" spans="1:40" ht="10.9" customHeight="1">
      <c r="A188" s="433" t="s">
        <v>848</v>
      </c>
      <c r="B188" s="427" t="s">
        <v>1001</v>
      </c>
      <c r="C188" s="153">
        <v>1200</v>
      </c>
      <c r="D188" s="154">
        <v>100</v>
      </c>
      <c r="E188" s="155">
        <v>18</v>
      </c>
      <c r="F188" s="153">
        <v>30</v>
      </c>
      <c r="G188" s="156">
        <v>0</v>
      </c>
      <c r="H188" s="153" t="s">
        <v>622</v>
      </c>
      <c r="I188" s="156">
        <v>100</v>
      </c>
      <c r="J188" s="157">
        <v>2</v>
      </c>
      <c r="K188" s="158" t="s">
        <v>1029</v>
      </c>
      <c r="L188" s="158"/>
      <c r="M188" s="158"/>
      <c r="N188" s="159" t="s">
        <v>349</v>
      </c>
      <c r="O188" s="160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156"/>
      <c r="AC188" s="156"/>
      <c r="AD188" s="156"/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408"/>
    </row>
    <row r="189" spans="1:40" ht="10.9" customHeight="1">
      <c r="A189" s="433" t="s">
        <v>898</v>
      </c>
      <c r="B189" s="423" t="s">
        <v>1026</v>
      </c>
      <c r="C189" s="129">
        <v>1600</v>
      </c>
      <c r="D189" s="130">
        <v>100</v>
      </c>
      <c r="E189" s="131">
        <v>21</v>
      </c>
      <c r="F189" s="129">
        <v>30</v>
      </c>
      <c r="G189" s="132">
        <v>0</v>
      </c>
      <c r="H189" s="129" t="s">
        <v>622</v>
      </c>
      <c r="I189" s="132">
        <v>100</v>
      </c>
      <c r="J189" s="133">
        <v>2</v>
      </c>
      <c r="K189" s="134" t="s">
        <v>1030</v>
      </c>
      <c r="L189" s="134"/>
      <c r="M189" s="134"/>
      <c r="N189" s="135" t="s">
        <v>311</v>
      </c>
      <c r="O189" s="136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402"/>
    </row>
    <row r="190" spans="1:40" ht="10.9" customHeight="1">
      <c r="A190" s="433" t="s">
        <v>902</v>
      </c>
      <c r="B190" s="424" t="s">
        <v>1004</v>
      </c>
      <c r="C190" s="137">
        <v>3000</v>
      </c>
      <c r="D190" s="138" t="s">
        <v>25</v>
      </c>
      <c r="E190" s="139">
        <v>20</v>
      </c>
      <c r="F190" s="137">
        <v>30</v>
      </c>
      <c r="G190" s="140">
        <v>10</v>
      </c>
      <c r="H190" s="137">
        <v>150</v>
      </c>
      <c r="I190" s="140">
        <v>150</v>
      </c>
      <c r="J190" s="141">
        <v>1</v>
      </c>
      <c r="K190" s="140" t="s">
        <v>1031</v>
      </c>
      <c r="L190" s="140"/>
      <c r="M190" s="140"/>
      <c r="N190" s="137" t="s">
        <v>305</v>
      </c>
      <c r="O190" s="142" t="s">
        <v>343</v>
      </c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40"/>
      <c r="AF190" s="140"/>
      <c r="AG190" s="140"/>
      <c r="AH190" s="140"/>
      <c r="AI190" s="140"/>
      <c r="AJ190" s="140"/>
      <c r="AK190" s="140"/>
      <c r="AL190" s="140"/>
      <c r="AM190" s="140"/>
      <c r="AN190" s="403"/>
    </row>
    <row r="191" spans="1:40" ht="10.9" customHeight="1">
      <c r="A191" s="433" t="s">
        <v>953</v>
      </c>
      <c r="B191" s="425" t="s">
        <v>1032</v>
      </c>
      <c r="C191" s="143">
        <v>6000</v>
      </c>
      <c r="D191" s="144" t="s">
        <v>25</v>
      </c>
      <c r="E191" s="145">
        <v>30</v>
      </c>
      <c r="F191" s="143">
        <v>30</v>
      </c>
      <c r="G191" s="146">
        <v>10</v>
      </c>
      <c r="H191" s="143">
        <v>150</v>
      </c>
      <c r="I191" s="146">
        <v>150</v>
      </c>
      <c r="J191" s="404">
        <v>1</v>
      </c>
      <c r="K191" s="146" t="s">
        <v>1033</v>
      </c>
      <c r="L191" s="146"/>
      <c r="M191" s="146"/>
      <c r="N191" s="143" t="s">
        <v>305</v>
      </c>
      <c r="O191" s="405" t="s">
        <v>343</v>
      </c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146"/>
      <c r="AJ191" s="146"/>
      <c r="AK191" s="146"/>
      <c r="AL191" s="146"/>
      <c r="AM191" s="146"/>
      <c r="AN191" s="406"/>
    </row>
    <row r="192" spans="1:40" ht="10.9" customHeight="1">
      <c r="A192" s="433" t="s">
        <v>1034</v>
      </c>
      <c r="B192" s="426" t="s">
        <v>1035</v>
      </c>
      <c r="C192" s="147">
        <v>9000</v>
      </c>
      <c r="D192" s="148" t="s">
        <v>25</v>
      </c>
      <c r="E192" s="149">
        <v>40</v>
      </c>
      <c r="F192" s="147">
        <v>30</v>
      </c>
      <c r="G192" s="150">
        <v>10</v>
      </c>
      <c r="H192" s="147">
        <v>150</v>
      </c>
      <c r="I192" s="150">
        <v>150</v>
      </c>
      <c r="J192" s="151">
        <v>1</v>
      </c>
      <c r="K192" s="150" t="s">
        <v>1036</v>
      </c>
      <c r="L192" s="150"/>
      <c r="M192" s="150"/>
      <c r="N192" s="147" t="s">
        <v>305</v>
      </c>
      <c r="O192" s="152" t="s">
        <v>343</v>
      </c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  <c r="AH192" s="150"/>
      <c r="AI192" s="150"/>
      <c r="AJ192" s="150"/>
      <c r="AK192" s="150"/>
      <c r="AL192" s="150"/>
      <c r="AM192" s="150"/>
      <c r="AN192" s="407"/>
    </row>
    <row r="193" spans="1:40" ht="10.9" customHeight="1">
      <c r="A193" s="433" t="s">
        <v>1263</v>
      </c>
      <c r="B193" s="427" t="s">
        <v>1037</v>
      </c>
      <c r="C193" s="153">
        <v>5000</v>
      </c>
      <c r="D193" s="154" t="s">
        <v>25</v>
      </c>
      <c r="E193" s="155">
        <v>21</v>
      </c>
      <c r="F193" s="153">
        <v>30</v>
      </c>
      <c r="G193" s="156">
        <v>5</v>
      </c>
      <c r="H193" s="153">
        <v>150</v>
      </c>
      <c r="I193" s="156">
        <v>150</v>
      </c>
      <c r="J193" s="157">
        <v>2</v>
      </c>
      <c r="K193" s="158" t="s">
        <v>1038</v>
      </c>
      <c r="L193" s="158"/>
      <c r="M193" s="158"/>
      <c r="N193" s="159" t="s">
        <v>352</v>
      </c>
      <c r="O193" s="160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156"/>
      <c r="AC193" s="156"/>
      <c r="AD193" s="156"/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408"/>
    </row>
    <row r="194" spans="1:40" ht="10.9" customHeight="1">
      <c r="A194" s="432" t="s">
        <v>1039</v>
      </c>
      <c r="B194" s="422" t="s">
        <v>1040</v>
      </c>
      <c r="C194" s="124">
        <v>10000</v>
      </c>
      <c r="D194" s="125" t="s">
        <v>25</v>
      </c>
      <c r="E194" s="126">
        <v>35</v>
      </c>
      <c r="F194" s="124">
        <v>30</v>
      </c>
      <c r="G194" s="127">
        <v>10</v>
      </c>
      <c r="H194" s="124">
        <v>150</v>
      </c>
      <c r="I194" s="127">
        <v>150</v>
      </c>
      <c r="J194" s="399">
        <v>2</v>
      </c>
      <c r="K194" s="163" t="s">
        <v>1041</v>
      </c>
      <c r="L194" s="163"/>
      <c r="M194" s="163"/>
      <c r="N194" s="128" t="s">
        <v>352</v>
      </c>
      <c r="O194" s="400" t="s">
        <v>583</v>
      </c>
      <c r="P194" s="127"/>
      <c r="Q194" s="127"/>
      <c r="R194" s="127"/>
      <c r="S194" s="127"/>
      <c r="T194" s="127"/>
      <c r="U194" s="127"/>
      <c r="V194" s="127"/>
      <c r="W194" s="127"/>
      <c r="X194" s="127"/>
      <c r="Y194" s="127"/>
      <c r="Z194" s="127"/>
      <c r="AA194" s="127"/>
      <c r="AB194" s="127"/>
      <c r="AC194" s="127"/>
      <c r="AD194" s="127"/>
      <c r="AE194" s="127"/>
      <c r="AF194" s="127"/>
      <c r="AG194" s="127"/>
      <c r="AH194" s="127"/>
      <c r="AI194" s="127"/>
      <c r="AJ194" s="127"/>
      <c r="AK194" s="127"/>
      <c r="AL194" s="127"/>
      <c r="AM194" s="127"/>
      <c r="AN194" s="401"/>
    </row>
    <row r="195" spans="1:40" ht="10.9" customHeight="1">
      <c r="A195" s="433" t="s">
        <v>1263</v>
      </c>
      <c r="B195" s="422" t="s">
        <v>1213</v>
      </c>
      <c r="C195" s="124">
        <v>25000</v>
      </c>
      <c r="D195" s="125" t="s">
        <v>25</v>
      </c>
      <c r="E195" s="126">
        <v>28</v>
      </c>
      <c r="F195" s="124">
        <v>30</v>
      </c>
      <c r="G195" s="127">
        <v>5</v>
      </c>
      <c r="H195" s="124">
        <v>150</v>
      </c>
      <c r="I195" s="127">
        <v>150</v>
      </c>
      <c r="J195" s="399">
        <v>2</v>
      </c>
      <c r="K195" s="163" t="s">
        <v>1042</v>
      </c>
      <c r="L195" s="163"/>
      <c r="M195" s="163"/>
      <c r="N195" s="128" t="s">
        <v>352</v>
      </c>
      <c r="O195" s="400" t="s">
        <v>583</v>
      </c>
      <c r="P195" s="127"/>
      <c r="Q195" s="127"/>
      <c r="R195" s="127"/>
      <c r="S195" s="127"/>
      <c r="T195" s="127"/>
      <c r="U195" s="127"/>
      <c r="V195" s="127"/>
      <c r="W195" s="127"/>
      <c r="X195" s="127"/>
      <c r="Y195" s="127"/>
      <c r="Z195" s="127"/>
      <c r="AA195" s="127"/>
      <c r="AB195" s="127"/>
      <c r="AC195" s="127"/>
      <c r="AD195" s="127"/>
      <c r="AE195" s="127"/>
      <c r="AF195" s="127"/>
      <c r="AG195" s="127"/>
      <c r="AH195" s="127"/>
      <c r="AI195" s="127"/>
      <c r="AJ195" s="127"/>
      <c r="AK195" s="127"/>
      <c r="AL195" s="127"/>
      <c r="AM195" s="127"/>
      <c r="AN195" s="401"/>
    </row>
    <row r="196" spans="1:40" ht="10.9" customHeight="1">
      <c r="A196" s="433" t="s">
        <v>1043</v>
      </c>
      <c r="B196" s="423" t="s">
        <v>1215</v>
      </c>
      <c r="C196" s="129">
        <v>25000</v>
      </c>
      <c r="D196" s="130">
        <v>5000</v>
      </c>
      <c r="E196" s="131">
        <v>28</v>
      </c>
      <c r="F196" s="129">
        <v>30</v>
      </c>
      <c r="G196" s="132">
        <v>5</v>
      </c>
      <c r="H196" s="129">
        <v>150</v>
      </c>
      <c r="I196" s="132">
        <v>150</v>
      </c>
      <c r="J196" s="133">
        <v>2</v>
      </c>
      <c r="K196" s="134" t="s">
        <v>1044</v>
      </c>
      <c r="L196" s="134"/>
      <c r="M196" s="134"/>
      <c r="N196" s="135" t="s">
        <v>352</v>
      </c>
      <c r="O196" s="136" t="s">
        <v>583</v>
      </c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402"/>
    </row>
    <row r="197" spans="1:40" ht="10.9" customHeight="1">
      <c r="A197" s="433" t="s">
        <v>1045</v>
      </c>
      <c r="B197" s="424" t="s">
        <v>1046</v>
      </c>
      <c r="C197" s="137">
        <v>600</v>
      </c>
      <c r="D197" s="138">
        <v>100</v>
      </c>
      <c r="E197" s="139">
        <v>16</v>
      </c>
      <c r="F197" s="137">
        <v>15</v>
      </c>
      <c r="G197" s="140">
        <v>1</v>
      </c>
      <c r="H197" s="137">
        <v>100</v>
      </c>
      <c r="I197" s="140">
        <v>100</v>
      </c>
      <c r="J197" s="141">
        <v>2</v>
      </c>
      <c r="K197" s="140" t="s">
        <v>1047</v>
      </c>
      <c r="L197" s="140"/>
      <c r="M197" s="140"/>
      <c r="N197" s="137" t="s">
        <v>350</v>
      </c>
      <c r="O197" s="142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40"/>
      <c r="AF197" s="140"/>
      <c r="AG197" s="140"/>
      <c r="AH197" s="140"/>
      <c r="AI197" s="140"/>
      <c r="AJ197" s="140"/>
      <c r="AK197" s="140"/>
      <c r="AL197" s="140"/>
      <c r="AM197" s="140"/>
      <c r="AN197" s="403"/>
    </row>
    <row r="198" spans="1:40" ht="10.9" customHeight="1">
      <c r="A198" s="433" t="s">
        <v>1048</v>
      </c>
      <c r="B198" s="426" t="s">
        <v>1049</v>
      </c>
      <c r="C198" s="147">
        <v>3000</v>
      </c>
      <c r="D198" s="148">
        <v>100</v>
      </c>
      <c r="E198" s="149">
        <v>32</v>
      </c>
      <c r="F198" s="147">
        <v>15</v>
      </c>
      <c r="G198" s="150">
        <v>5</v>
      </c>
      <c r="H198" s="147">
        <v>100</v>
      </c>
      <c r="I198" s="150">
        <v>100</v>
      </c>
      <c r="J198" s="151">
        <v>2</v>
      </c>
      <c r="K198" s="150" t="s">
        <v>1050</v>
      </c>
      <c r="L198" s="150"/>
      <c r="M198" s="150"/>
      <c r="N198" s="147" t="s">
        <v>348</v>
      </c>
      <c r="O198" s="152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  <c r="AH198" s="150"/>
      <c r="AI198" s="150"/>
      <c r="AJ198" s="150"/>
      <c r="AK198" s="150"/>
      <c r="AL198" s="150"/>
      <c r="AM198" s="150"/>
      <c r="AN198" s="407"/>
    </row>
    <row r="199" spans="1:40" ht="10.9" customHeight="1">
      <c r="A199" s="433" t="s">
        <v>1051</v>
      </c>
      <c r="B199" s="427" t="s">
        <v>1052</v>
      </c>
      <c r="C199" s="153">
        <v>9000</v>
      </c>
      <c r="D199" s="154" t="s">
        <v>25</v>
      </c>
      <c r="E199" s="155">
        <v>25</v>
      </c>
      <c r="F199" s="153">
        <v>30</v>
      </c>
      <c r="G199" s="156">
        <v>10</v>
      </c>
      <c r="H199" s="153">
        <v>150</v>
      </c>
      <c r="I199" s="156">
        <v>100</v>
      </c>
      <c r="J199" s="157">
        <v>3</v>
      </c>
      <c r="K199" s="158" t="s">
        <v>1053</v>
      </c>
      <c r="L199" s="158"/>
      <c r="M199" s="158"/>
      <c r="N199" s="159" t="s">
        <v>344</v>
      </c>
      <c r="O199" s="160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  <c r="AD199" s="156"/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408"/>
    </row>
    <row r="200" spans="1:40" ht="10.9" customHeight="1">
      <c r="A200" s="433" t="s">
        <v>1054</v>
      </c>
      <c r="B200" s="423" t="s">
        <v>1055</v>
      </c>
      <c r="C200" s="129">
        <v>12000</v>
      </c>
      <c r="D200" s="130" t="s">
        <v>25</v>
      </c>
      <c r="E200" s="131">
        <v>30</v>
      </c>
      <c r="F200" s="129">
        <v>30</v>
      </c>
      <c r="G200" s="132">
        <v>10</v>
      </c>
      <c r="H200" s="129">
        <v>150</v>
      </c>
      <c r="I200" s="132">
        <v>100</v>
      </c>
      <c r="J200" s="133">
        <v>3</v>
      </c>
      <c r="K200" s="134" t="s">
        <v>1056</v>
      </c>
      <c r="L200" s="134"/>
      <c r="M200" s="134"/>
      <c r="N200" s="135" t="s">
        <v>309</v>
      </c>
      <c r="O200" s="136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402"/>
    </row>
    <row r="201" spans="1:40" ht="10.9" customHeight="1">
      <c r="A201" s="434" t="s">
        <v>1057</v>
      </c>
      <c r="B201" s="424" t="s">
        <v>937</v>
      </c>
      <c r="C201" s="137">
        <v>300</v>
      </c>
      <c r="D201" s="138" t="s">
        <v>25</v>
      </c>
      <c r="E201" s="139">
        <v>18</v>
      </c>
      <c r="F201" s="137">
        <v>15</v>
      </c>
      <c r="G201" s="140">
        <v>0</v>
      </c>
      <c r="H201" s="137">
        <v>150</v>
      </c>
      <c r="I201" s="140">
        <v>150</v>
      </c>
      <c r="J201" s="141">
        <v>0</v>
      </c>
      <c r="K201" s="140" t="s">
        <v>1058</v>
      </c>
      <c r="L201" s="140"/>
      <c r="M201" s="140"/>
      <c r="N201" s="137" t="s">
        <v>25</v>
      </c>
      <c r="O201" s="142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0"/>
      <c r="AI201" s="140"/>
      <c r="AJ201" s="140"/>
      <c r="AK201" s="140"/>
      <c r="AL201" s="140"/>
      <c r="AM201" s="140"/>
      <c r="AN201" s="403"/>
    </row>
    <row r="202" spans="1:40" ht="10.9" customHeight="1">
      <c r="A202" s="434" t="s">
        <v>1059</v>
      </c>
      <c r="B202" s="426" t="s">
        <v>1060</v>
      </c>
      <c r="C202" s="147">
        <v>600</v>
      </c>
      <c r="D202" s="148" t="s">
        <v>25</v>
      </c>
      <c r="E202" s="149">
        <v>21</v>
      </c>
      <c r="F202" s="147">
        <v>15</v>
      </c>
      <c r="G202" s="150">
        <v>0</v>
      </c>
      <c r="H202" s="147">
        <v>150</v>
      </c>
      <c r="I202" s="150">
        <v>150</v>
      </c>
      <c r="J202" s="151">
        <v>0</v>
      </c>
      <c r="K202" s="150" t="s">
        <v>1061</v>
      </c>
      <c r="L202" s="150"/>
      <c r="M202" s="150"/>
      <c r="N202" s="147" t="s">
        <v>25</v>
      </c>
      <c r="O202" s="152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  <c r="AH202" s="150"/>
      <c r="AI202" s="150"/>
      <c r="AJ202" s="150"/>
      <c r="AK202" s="150"/>
      <c r="AL202" s="150"/>
      <c r="AM202" s="150"/>
      <c r="AN202" s="407"/>
    </row>
    <row r="203" spans="1:40" ht="10.9" customHeight="1">
      <c r="A203" s="433" t="s">
        <v>1263</v>
      </c>
      <c r="B203" s="429" t="s">
        <v>1062</v>
      </c>
      <c r="C203" s="175">
        <v>1337</v>
      </c>
      <c r="D203" s="176">
        <v>100</v>
      </c>
      <c r="E203" s="177">
        <v>25</v>
      </c>
      <c r="F203" s="175">
        <v>15</v>
      </c>
      <c r="G203" s="178">
        <v>0</v>
      </c>
      <c r="H203" s="175">
        <v>100</v>
      </c>
      <c r="I203" s="178">
        <v>150</v>
      </c>
      <c r="J203" s="179">
        <v>3</v>
      </c>
      <c r="K203" s="180" t="s">
        <v>1063</v>
      </c>
      <c r="L203" s="180"/>
      <c r="M203" s="180"/>
      <c r="N203" s="181" t="s">
        <v>25</v>
      </c>
      <c r="O203" s="182"/>
      <c r="P203" s="178"/>
      <c r="Q203" s="178"/>
      <c r="R203" s="178"/>
      <c r="S203" s="178"/>
      <c r="T203" s="178"/>
      <c r="U203" s="178"/>
      <c r="V203" s="178"/>
      <c r="W203" s="178"/>
      <c r="X203" s="178"/>
      <c r="Y203" s="178"/>
      <c r="Z203" s="178"/>
      <c r="AA203" s="178"/>
      <c r="AB203" s="178"/>
      <c r="AC203" s="178"/>
      <c r="AD203" s="178"/>
      <c r="AE203" s="178"/>
      <c r="AF203" s="178"/>
      <c r="AG203" s="178"/>
      <c r="AH203" s="178"/>
      <c r="AI203" s="178"/>
      <c r="AJ203" s="178"/>
      <c r="AK203" s="178"/>
      <c r="AL203" s="178"/>
      <c r="AM203" s="178"/>
      <c r="AN203" s="410"/>
    </row>
    <row r="204" spans="1:40" ht="10.9" customHeight="1">
      <c r="A204" s="432" t="s">
        <v>1064</v>
      </c>
      <c r="B204" s="428" t="s">
        <v>1065</v>
      </c>
      <c r="C204" s="168">
        <v>7500</v>
      </c>
      <c r="D204" s="169">
        <v>300</v>
      </c>
      <c r="E204" s="170">
        <v>50</v>
      </c>
      <c r="F204" s="168">
        <v>0</v>
      </c>
      <c r="G204" s="171">
        <v>0</v>
      </c>
      <c r="H204" s="168">
        <v>100</v>
      </c>
      <c r="I204" s="171">
        <v>150</v>
      </c>
      <c r="J204" s="172">
        <v>0</v>
      </c>
      <c r="K204" s="171" t="s">
        <v>1066</v>
      </c>
      <c r="L204" s="171"/>
      <c r="M204" s="171"/>
      <c r="N204" s="168" t="s">
        <v>25</v>
      </c>
      <c r="O204" s="173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409"/>
    </row>
    <row r="205" spans="1:40" ht="10.9" customHeight="1">
      <c r="A205" s="433" t="s">
        <v>1263</v>
      </c>
      <c r="B205" s="427" t="s">
        <v>734</v>
      </c>
      <c r="C205" s="159">
        <v>2000</v>
      </c>
      <c r="D205" s="166">
        <v>500</v>
      </c>
      <c r="E205" s="167">
        <v>35</v>
      </c>
      <c r="F205" s="159">
        <v>30</v>
      </c>
      <c r="G205" s="158">
        <v>0</v>
      </c>
      <c r="H205" s="159">
        <v>100</v>
      </c>
      <c r="I205" s="158">
        <v>150</v>
      </c>
      <c r="J205" s="157">
        <v>4</v>
      </c>
      <c r="K205" s="158" t="s">
        <v>1067</v>
      </c>
      <c r="L205" s="158"/>
      <c r="M205" s="158"/>
      <c r="N205" s="159" t="s">
        <v>357</v>
      </c>
      <c r="O205" s="160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56"/>
      <c r="AE205" s="156"/>
      <c r="AF205" s="156"/>
      <c r="AG205" s="156"/>
      <c r="AH205" s="156"/>
      <c r="AI205" s="156"/>
      <c r="AJ205" s="156"/>
      <c r="AK205" s="156"/>
      <c r="AL205" s="156"/>
      <c r="AM205" s="156"/>
      <c r="AN205" s="408"/>
    </row>
    <row r="206" spans="1:40" ht="10.9" customHeight="1">
      <c r="A206" s="433" t="s">
        <v>713</v>
      </c>
      <c r="B206" s="422" t="s">
        <v>1068</v>
      </c>
      <c r="C206" s="128">
        <v>20000</v>
      </c>
      <c r="D206" s="161">
        <v>1000</v>
      </c>
      <c r="E206" s="162">
        <v>40</v>
      </c>
      <c r="F206" s="128">
        <v>30</v>
      </c>
      <c r="G206" s="163">
        <v>0</v>
      </c>
      <c r="H206" s="128">
        <v>100</v>
      </c>
      <c r="I206" s="163">
        <v>150</v>
      </c>
      <c r="J206" s="399">
        <v>4</v>
      </c>
      <c r="K206" s="163" t="s">
        <v>1069</v>
      </c>
      <c r="L206" s="163"/>
      <c r="M206" s="163"/>
      <c r="N206" s="128" t="s">
        <v>357</v>
      </c>
      <c r="O206" s="400"/>
      <c r="P206" s="127"/>
      <c r="Q206" s="127"/>
      <c r="R206" s="127"/>
      <c r="S206" s="127"/>
      <c r="T206" s="127"/>
      <c r="U206" s="127"/>
      <c r="V206" s="127"/>
      <c r="W206" s="127"/>
      <c r="X206" s="127"/>
      <c r="Y206" s="127"/>
      <c r="Z206" s="127"/>
      <c r="AA206" s="127"/>
      <c r="AB206" s="127"/>
      <c r="AC206" s="127"/>
      <c r="AD206" s="127"/>
      <c r="AE206" s="127"/>
      <c r="AF206" s="127"/>
      <c r="AG206" s="127"/>
      <c r="AH206" s="127"/>
      <c r="AI206" s="127"/>
      <c r="AJ206" s="127"/>
      <c r="AK206" s="127"/>
      <c r="AL206" s="127"/>
      <c r="AM206" s="127"/>
      <c r="AN206" s="401"/>
    </row>
    <row r="207" spans="1:40" ht="10.9" customHeight="1">
      <c r="A207" s="433" t="s">
        <v>771</v>
      </c>
      <c r="B207" s="423" t="s">
        <v>1070</v>
      </c>
      <c r="C207" s="135">
        <v>40000</v>
      </c>
      <c r="D207" s="164">
        <v>1500</v>
      </c>
      <c r="E207" s="165">
        <v>45</v>
      </c>
      <c r="F207" s="135">
        <v>30</v>
      </c>
      <c r="G207" s="134">
        <v>0</v>
      </c>
      <c r="H207" s="135">
        <v>100</v>
      </c>
      <c r="I207" s="134">
        <v>150</v>
      </c>
      <c r="J207" s="133">
        <v>4</v>
      </c>
      <c r="K207" s="134" t="s">
        <v>1071</v>
      </c>
      <c r="L207" s="134"/>
      <c r="M207" s="134"/>
      <c r="N207" s="135" t="s">
        <v>357</v>
      </c>
      <c r="O207" s="136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402"/>
    </row>
    <row r="208" spans="1:40" ht="10.9" customHeight="1">
      <c r="A208" s="433" t="s">
        <v>918</v>
      </c>
      <c r="B208" s="424" t="s">
        <v>1072</v>
      </c>
      <c r="C208" s="137">
        <v>10000</v>
      </c>
      <c r="D208" s="138" t="s">
        <v>25</v>
      </c>
      <c r="E208" s="139">
        <v>30</v>
      </c>
      <c r="F208" s="137">
        <v>30</v>
      </c>
      <c r="G208" s="140">
        <v>10</v>
      </c>
      <c r="H208" s="137">
        <v>100</v>
      </c>
      <c r="I208" s="140">
        <v>150</v>
      </c>
      <c r="J208" s="141">
        <v>2</v>
      </c>
      <c r="K208" s="140" t="s">
        <v>1073</v>
      </c>
      <c r="L208" s="140"/>
      <c r="M208" s="140"/>
      <c r="N208" s="137" t="s">
        <v>350</v>
      </c>
      <c r="O208" s="142" t="s">
        <v>322</v>
      </c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  <c r="AM208" s="140"/>
      <c r="AN208" s="403"/>
    </row>
    <row r="209" spans="1:40" ht="10.9" customHeight="1">
      <c r="A209" s="433" t="s">
        <v>1005</v>
      </c>
      <c r="B209" s="425" t="s">
        <v>1074</v>
      </c>
      <c r="C209" s="143">
        <v>20000</v>
      </c>
      <c r="D209" s="144" t="s">
        <v>25</v>
      </c>
      <c r="E209" s="145">
        <v>40</v>
      </c>
      <c r="F209" s="143">
        <v>30</v>
      </c>
      <c r="G209" s="146">
        <v>10</v>
      </c>
      <c r="H209" s="143">
        <v>100</v>
      </c>
      <c r="I209" s="146">
        <v>150</v>
      </c>
      <c r="J209" s="404">
        <v>2</v>
      </c>
      <c r="K209" s="146" t="s">
        <v>1075</v>
      </c>
      <c r="L209" s="146"/>
      <c r="M209" s="146"/>
      <c r="N209" s="143" t="s">
        <v>350</v>
      </c>
      <c r="O209" s="405" t="s">
        <v>311</v>
      </c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146"/>
      <c r="AJ209" s="146"/>
      <c r="AK209" s="146"/>
      <c r="AL209" s="146"/>
      <c r="AM209" s="146"/>
      <c r="AN209" s="406"/>
    </row>
    <row r="210" spans="1:40" ht="10.9" customHeight="1">
      <c r="A210" s="433" t="s">
        <v>1010</v>
      </c>
      <c r="B210" s="426" t="s">
        <v>1076</v>
      </c>
      <c r="C210" s="147">
        <v>50000</v>
      </c>
      <c r="D210" s="148" t="s">
        <v>25</v>
      </c>
      <c r="E210" s="149">
        <v>35</v>
      </c>
      <c r="F210" s="147">
        <v>30</v>
      </c>
      <c r="G210" s="150">
        <v>10</v>
      </c>
      <c r="H210" s="147">
        <v>100</v>
      </c>
      <c r="I210" s="150">
        <v>150</v>
      </c>
      <c r="J210" s="151">
        <v>2</v>
      </c>
      <c r="K210" s="150" t="s">
        <v>1077</v>
      </c>
      <c r="L210" s="150"/>
      <c r="M210" s="150"/>
      <c r="N210" s="147" t="s">
        <v>350</v>
      </c>
      <c r="O210" s="152" t="s">
        <v>334</v>
      </c>
      <c r="P210" s="150" t="s">
        <v>583</v>
      </c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  <c r="AH210" s="150"/>
      <c r="AI210" s="150"/>
      <c r="AJ210" s="150"/>
      <c r="AK210" s="150"/>
      <c r="AL210" s="150"/>
      <c r="AM210" s="150"/>
      <c r="AN210" s="407"/>
    </row>
    <row r="211" spans="1:40" ht="10.9" customHeight="1">
      <c r="A211" s="433" t="s">
        <v>1037</v>
      </c>
      <c r="B211" s="427" t="s">
        <v>798</v>
      </c>
      <c r="C211" s="159">
        <v>250</v>
      </c>
      <c r="D211" s="166" t="s">
        <v>25</v>
      </c>
      <c r="E211" s="167">
        <v>8</v>
      </c>
      <c r="F211" s="159">
        <v>15</v>
      </c>
      <c r="G211" s="158">
        <v>4</v>
      </c>
      <c r="H211" s="159" t="s">
        <v>622</v>
      </c>
      <c r="I211" s="158">
        <v>100</v>
      </c>
      <c r="J211" s="157">
        <v>2</v>
      </c>
      <c r="K211" s="158" t="s">
        <v>1078</v>
      </c>
      <c r="L211" s="158"/>
      <c r="M211" s="158"/>
      <c r="N211" s="159" t="s">
        <v>596</v>
      </c>
      <c r="O211" s="160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56"/>
      <c r="AE211" s="156"/>
      <c r="AF211" s="156"/>
      <c r="AG211" s="156"/>
      <c r="AH211" s="156"/>
      <c r="AI211" s="156"/>
      <c r="AJ211" s="156"/>
      <c r="AK211" s="156"/>
      <c r="AL211" s="156"/>
      <c r="AM211" s="156"/>
      <c r="AN211" s="408"/>
    </row>
    <row r="212" spans="1:40" ht="10.9" customHeight="1">
      <c r="A212" s="433" t="s">
        <v>711</v>
      </c>
      <c r="B212" s="422" t="s">
        <v>858</v>
      </c>
      <c r="C212" s="128">
        <v>500</v>
      </c>
      <c r="D212" s="161" t="s">
        <v>25</v>
      </c>
      <c r="E212" s="162">
        <v>12</v>
      </c>
      <c r="F212" s="128">
        <v>15</v>
      </c>
      <c r="G212" s="163">
        <v>10</v>
      </c>
      <c r="H212" s="128" t="s">
        <v>622</v>
      </c>
      <c r="I212" s="163">
        <v>100</v>
      </c>
      <c r="J212" s="399">
        <v>2</v>
      </c>
      <c r="K212" s="163" t="s">
        <v>1079</v>
      </c>
      <c r="L212" s="163"/>
      <c r="M212" s="163"/>
      <c r="N212" s="128" t="s">
        <v>596</v>
      </c>
      <c r="O212" s="400"/>
      <c r="P212" s="127"/>
      <c r="Q212" s="127"/>
      <c r="R212" s="127"/>
      <c r="S212" s="127"/>
      <c r="T212" s="127"/>
      <c r="U212" s="127"/>
      <c r="V212" s="127"/>
      <c r="W212" s="127"/>
      <c r="X212" s="127"/>
      <c r="Y212" s="127"/>
      <c r="Z212" s="127"/>
      <c r="AA212" s="127"/>
      <c r="AB212" s="127"/>
      <c r="AC212" s="127"/>
      <c r="AD212" s="127"/>
      <c r="AE212" s="127"/>
      <c r="AF212" s="127"/>
      <c r="AG212" s="127"/>
      <c r="AH212" s="127"/>
      <c r="AI212" s="127"/>
      <c r="AJ212" s="127"/>
      <c r="AK212" s="127"/>
      <c r="AL212" s="127"/>
      <c r="AM212" s="127"/>
      <c r="AN212" s="401"/>
    </row>
    <row r="213" spans="1:40" ht="10.9" customHeight="1">
      <c r="A213" s="433" t="s">
        <v>1080</v>
      </c>
      <c r="B213" s="422" t="s">
        <v>1081</v>
      </c>
      <c r="C213" s="128">
        <v>5000</v>
      </c>
      <c r="D213" s="161" t="s">
        <v>25</v>
      </c>
      <c r="E213" s="162">
        <v>24</v>
      </c>
      <c r="F213" s="128">
        <v>15</v>
      </c>
      <c r="G213" s="163">
        <v>0</v>
      </c>
      <c r="H213" s="128" t="s">
        <v>622</v>
      </c>
      <c r="I213" s="163">
        <v>100</v>
      </c>
      <c r="J213" s="399">
        <v>2</v>
      </c>
      <c r="K213" s="163" t="s">
        <v>1082</v>
      </c>
      <c r="L213" s="163"/>
      <c r="M213" s="163"/>
      <c r="N213" s="128" t="s">
        <v>586</v>
      </c>
      <c r="O213" s="400"/>
      <c r="P213" s="127"/>
      <c r="Q213" s="127"/>
      <c r="R213" s="127"/>
      <c r="S213" s="127"/>
      <c r="T213" s="127"/>
      <c r="U213" s="127"/>
      <c r="V213" s="127"/>
      <c r="W213" s="127"/>
      <c r="X213" s="127"/>
      <c r="Y213" s="127"/>
      <c r="Z213" s="127"/>
      <c r="AA213" s="127"/>
      <c r="AB213" s="127"/>
      <c r="AC213" s="127"/>
      <c r="AD213" s="127"/>
      <c r="AE213" s="127"/>
      <c r="AF213" s="127"/>
      <c r="AG213" s="127"/>
      <c r="AH213" s="127"/>
      <c r="AI213" s="127"/>
      <c r="AJ213" s="127"/>
      <c r="AK213" s="127"/>
      <c r="AL213" s="127"/>
      <c r="AM213" s="127"/>
      <c r="AN213" s="401"/>
    </row>
    <row r="214" spans="1:40" ht="10.9" customHeight="1">
      <c r="A214" s="433" t="s">
        <v>1263</v>
      </c>
      <c r="B214" s="423" t="s">
        <v>1083</v>
      </c>
      <c r="C214" s="135">
        <v>7500</v>
      </c>
      <c r="D214" s="164" t="s">
        <v>25</v>
      </c>
      <c r="E214" s="165">
        <v>36</v>
      </c>
      <c r="F214" s="135">
        <v>15</v>
      </c>
      <c r="G214" s="134">
        <v>0</v>
      </c>
      <c r="H214" s="135" t="s">
        <v>622</v>
      </c>
      <c r="I214" s="134">
        <v>100</v>
      </c>
      <c r="J214" s="133">
        <v>2</v>
      </c>
      <c r="K214" s="134" t="s">
        <v>1084</v>
      </c>
      <c r="L214" s="134"/>
      <c r="M214" s="134"/>
      <c r="N214" s="135" t="s">
        <v>586</v>
      </c>
      <c r="O214" s="136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2"/>
      <c r="AE214" s="132"/>
      <c r="AF214" s="132"/>
      <c r="AG214" s="132"/>
      <c r="AH214" s="132"/>
      <c r="AI214" s="132"/>
      <c r="AJ214" s="132"/>
      <c r="AK214" s="132"/>
      <c r="AL214" s="132"/>
      <c r="AM214" s="132"/>
      <c r="AN214" s="402"/>
    </row>
    <row r="215" spans="1:40" ht="10.9" customHeight="1">
      <c r="A215" s="432" t="s">
        <v>1085</v>
      </c>
      <c r="B215" s="424" t="s">
        <v>1086</v>
      </c>
      <c r="C215" s="137">
        <v>1200</v>
      </c>
      <c r="D215" s="138" t="s">
        <v>25</v>
      </c>
      <c r="E215" s="139">
        <v>24</v>
      </c>
      <c r="F215" s="137">
        <v>15</v>
      </c>
      <c r="G215" s="140">
        <v>0</v>
      </c>
      <c r="H215" s="137">
        <v>150</v>
      </c>
      <c r="I215" s="140">
        <v>100</v>
      </c>
      <c r="J215" s="141">
        <v>3</v>
      </c>
      <c r="K215" s="140" t="s">
        <v>1087</v>
      </c>
      <c r="L215" s="140"/>
      <c r="M215" s="140"/>
      <c r="N215" s="137" t="s">
        <v>589</v>
      </c>
      <c r="O215" s="142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40"/>
      <c r="AF215" s="140"/>
      <c r="AG215" s="140"/>
      <c r="AH215" s="140"/>
      <c r="AI215" s="140"/>
      <c r="AJ215" s="140"/>
      <c r="AK215" s="140"/>
      <c r="AL215" s="140"/>
      <c r="AM215" s="140"/>
      <c r="AN215" s="403"/>
    </row>
    <row r="216" spans="1:40" ht="10.9" customHeight="1">
      <c r="A216" s="433" t="s">
        <v>1263</v>
      </c>
      <c r="B216" s="425" t="s">
        <v>1045</v>
      </c>
      <c r="C216" s="143">
        <v>2400</v>
      </c>
      <c r="D216" s="144" t="s">
        <v>25</v>
      </c>
      <c r="E216" s="145">
        <v>21</v>
      </c>
      <c r="F216" s="143">
        <v>15</v>
      </c>
      <c r="G216" s="146">
        <v>10</v>
      </c>
      <c r="H216" s="143">
        <v>150</v>
      </c>
      <c r="I216" s="146">
        <v>100</v>
      </c>
      <c r="J216" s="404">
        <v>3</v>
      </c>
      <c r="K216" s="146" t="s">
        <v>1088</v>
      </c>
      <c r="L216" s="146"/>
      <c r="M216" s="146"/>
      <c r="N216" s="143" t="s">
        <v>596</v>
      </c>
      <c r="O216" s="405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  <c r="AH216" s="146"/>
      <c r="AI216" s="146"/>
      <c r="AJ216" s="146"/>
      <c r="AK216" s="146"/>
      <c r="AL216" s="146"/>
      <c r="AM216" s="146"/>
      <c r="AN216" s="406"/>
    </row>
    <row r="217" spans="1:40" ht="10.9" customHeight="1">
      <c r="A217" s="433" t="s">
        <v>856</v>
      </c>
      <c r="B217" s="425" t="s">
        <v>1089</v>
      </c>
      <c r="C217" s="143">
        <v>3600</v>
      </c>
      <c r="D217" s="144" t="s">
        <v>25</v>
      </c>
      <c r="E217" s="145">
        <v>27</v>
      </c>
      <c r="F217" s="143">
        <v>15</v>
      </c>
      <c r="G217" s="146">
        <v>15</v>
      </c>
      <c r="H217" s="143">
        <v>150</v>
      </c>
      <c r="I217" s="146">
        <v>100</v>
      </c>
      <c r="J217" s="404">
        <v>3</v>
      </c>
      <c r="K217" s="146" t="s">
        <v>1090</v>
      </c>
      <c r="L217" s="146" t="s">
        <v>354</v>
      </c>
      <c r="M217" s="146"/>
      <c r="N217" s="143" t="s">
        <v>596</v>
      </c>
      <c r="O217" s="405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  <c r="AH217" s="146"/>
      <c r="AI217" s="146"/>
      <c r="AJ217" s="146"/>
      <c r="AK217" s="146"/>
      <c r="AL217" s="146"/>
      <c r="AM217" s="146"/>
      <c r="AN217" s="406"/>
    </row>
    <row r="218" spans="1:40" ht="10.9" customHeight="1">
      <c r="A218" s="433" t="s">
        <v>1046</v>
      </c>
      <c r="B218" s="426" t="s">
        <v>1091</v>
      </c>
      <c r="C218" s="147">
        <v>4800</v>
      </c>
      <c r="D218" s="148" t="s">
        <v>25</v>
      </c>
      <c r="E218" s="149">
        <v>30</v>
      </c>
      <c r="F218" s="147">
        <v>15</v>
      </c>
      <c r="G218" s="150">
        <v>15</v>
      </c>
      <c r="H218" s="147">
        <v>150</v>
      </c>
      <c r="I218" s="150">
        <v>100</v>
      </c>
      <c r="J218" s="151">
        <v>3</v>
      </c>
      <c r="K218" s="150" t="s">
        <v>1092</v>
      </c>
      <c r="L218" s="150" t="s">
        <v>354</v>
      </c>
      <c r="M218" s="150"/>
      <c r="N218" s="147" t="s">
        <v>596</v>
      </c>
      <c r="O218" s="152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  <c r="AH218" s="150"/>
      <c r="AI218" s="150"/>
      <c r="AJ218" s="150"/>
      <c r="AK218" s="150"/>
      <c r="AL218" s="150"/>
      <c r="AM218" s="150"/>
      <c r="AN218" s="407"/>
    </row>
    <row r="219" spans="1:40" ht="10.9" customHeight="1">
      <c r="A219" s="433" t="s">
        <v>808</v>
      </c>
      <c r="B219" s="427" t="s">
        <v>933</v>
      </c>
      <c r="C219" s="159">
        <v>1000</v>
      </c>
      <c r="D219" s="166" t="s">
        <v>25</v>
      </c>
      <c r="E219" s="167">
        <v>18</v>
      </c>
      <c r="F219" s="159">
        <v>15</v>
      </c>
      <c r="G219" s="158">
        <v>0</v>
      </c>
      <c r="H219" s="159" t="s">
        <v>622</v>
      </c>
      <c r="I219" s="158">
        <v>150</v>
      </c>
      <c r="J219" s="157">
        <v>3</v>
      </c>
      <c r="K219" s="158" t="s">
        <v>1093</v>
      </c>
      <c r="L219" s="158"/>
      <c r="M219" s="158"/>
      <c r="N219" s="159" t="s">
        <v>589</v>
      </c>
      <c r="O219" s="160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156"/>
      <c r="AC219" s="156"/>
      <c r="AD219" s="156"/>
      <c r="AE219" s="156"/>
      <c r="AF219" s="156"/>
      <c r="AG219" s="156"/>
      <c r="AH219" s="156"/>
      <c r="AI219" s="156"/>
      <c r="AJ219" s="156"/>
      <c r="AK219" s="156"/>
      <c r="AL219" s="156"/>
      <c r="AM219" s="156"/>
      <c r="AN219" s="408"/>
    </row>
    <row r="220" spans="1:40" ht="10.9" customHeight="1">
      <c r="A220" s="433" t="s">
        <v>913</v>
      </c>
      <c r="B220" s="422" t="s">
        <v>1094</v>
      </c>
      <c r="C220" s="128">
        <v>4000</v>
      </c>
      <c r="D220" s="161" t="s">
        <v>25</v>
      </c>
      <c r="E220" s="162">
        <v>27</v>
      </c>
      <c r="F220" s="128">
        <v>15</v>
      </c>
      <c r="G220" s="163">
        <v>0</v>
      </c>
      <c r="H220" s="128" t="s">
        <v>622</v>
      </c>
      <c r="I220" s="163">
        <v>150</v>
      </c>
      <c r="J220" s="399">
        <v>3</v>
      </c>
      <c r="K220" s="163" t="s">
        <v>1095</v>
      </c>
      <c r="L220" s="163"/>
      <c r="M220" s="163"/>
      <c r="N220" s="128" t="s">
        <v>589</v>
      </c>
      <c r="O220" s="400"/>
      <c r="P220" s="127"/>
      <c r="Q220" s="127"/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127"/>
      <c r="AD220" s="127"/>
      <c r="AE220" s="127"/>
      <c r="AF220" s="127"/>
      <c r="AG220" s="127"/>
      <c r="AH220" s="127"/>
      <c r="AI220" s="127"/>
      <c r="AJ220" s="127"/>
      <c r="AK220" s="127"/>
      <c r="AL220" s="127"/>
      <c r="AM220" s="127"/>
      <c r="AN220" s="401"/>
    </row>
    <row r="221" spans="1:40" ht="10.9" customHeight="1">
      <c r="A221" s="433" t="s">
        <v>790</v>
      </c>
      <c r="B221" s="423" t="s">
        <v>1096</v>
      </c>
      <c r="C221" s="135">
        <v>7000</v>
      </c>
      <c r="D221" s="164" t="s">
        <v>25</v>
      </c>
      <c r="E221" s="165">
        <v>36</v>
      </c>
      <c r="F221" s="135">
        <v>15</v>
      </c>
      <c r="G221" s="134">
        <v>0</v>
      </c>
      <c r="H221" s="135" t="s">
        <v>622</v>
      </c>
      <c r="I221" s="134">
        <v>150</v>
      </c>
      <c r="J221" s="133">
        <v>3</v>
      </c>
      <c r="K221" s="134" t="s">
        <v>1097</v>
      </c>
      <c r="L221" s="134"/>
      <c r="M221" s="134"/>
      <c r="N221" s="135" t="s">
        <v>589</v>
      </c>
      <c r="O221" s="136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  <c r="AH221" s="132"/>
      <c r="AI221" s="132"/>
      <c r="AJ221" s="132"/>
      <c r="AK221" s="132"/>
      <c r="AL221" s="132"/>
      <c r="AM221" s="132"/>
      <c r="AN221" s="402"/>
    </row>
    <row r="222" spans="1:40" ht="10.9" customHeight="1">
      <c r="A222" s="433" t="s">
        <v>981</v>
      </c>
      <c r="B222" s="424" t="s">
        <v>801</v>
      </c>
      <c r="C222" s="137">
        <v>1500</v>
      </c>
      <c r="D222" s="138" t="s">
        <v>25</v>
      </c>
      <c r="E222" s="139">
        <v>10</v>
      </c>
      <c r="F222" s="137">
        <v>0</v>
      </c>
      <c r="G222" s="140">
        <v>1</v>
      </c>
      <c r="H222" s="137">
        <v>100</v>
      </c>
      <c r="I222" s="140">
        <v>150</v>
      </c>
      <c r="J222" s="141">
        <v>0</v>
      </c>
      <c r="K222" s="140" t="s">
        <v>1098</v>
      </c>
      <c r="L222" s="140"/>
      <c r="M222" s="140"/>
      <c r="N222" s="137" t="s">
        <v>596</v>
      </c>
      <c r="O222" s="142" t="s">
        <v>351</v>
      </c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40"/>
      <c r="AF222" s="140"/>
      <c r="AG222" s="140"/>
      <c r="AH222" s="140"/>
      <c r="AI222" s="140"/>
      <c r="AJ222" s="140"/>
      <c r="AK222" s="140"/>
      <c r="AL222" s="140"/>
      <c r="AM222" s="140"/>
      <c r="AN222" s="403"/>
    </row>
    <row r="223" spans="1:40" ht="10.9" customHeight="1">
      <c r="A223" s="433" t="s">
        <v>977</v>
      </c>
      <c r="B223" s="425" t="s">
        <v>950</v>
      </c>
      <c r="C223" s="143">
        <v>3000</v>
      </c>
      <c r="D223" s="144" t="s">
        <v>25</v>
      </c>
      <c r="E223" s="145">
        <v>20</v>
      </c>
      <c r="F223" s="143">
        <v>0</v>
      </c>
      <c r="G223" s="146">
        <v>5</v>
      </c>
      <c r="H223" s="143">
        <v>100</v>
      </c>
      <c r="I223" s="146">
        <v>150</v>
      </c>
      <c r="J223" s="404">
        <v>0</v>
      </c>
      <c r="K223" s="146" t="s">
        <v>1099</v>
      </c>
      <c r="L223" s="146"/>
      <c r="M223" s="146"/>
      <c r="N223" s="143" t="s">
        <v>596</v>
      </c>
      <c r="O223" s="405" t="s">
        <v>347</v>
      </c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  <c r="AH223" s="146"/>
      <c r="AI223" s="146"/>
      <c r="AJ223" s="146"/>
      <c r="AK223" s="146"/>
      <c r="AL223" s="146"/>
      <c r="AM223" s="146"/>
      <c r="AN223" s="406"/>
    </row>
    <row r="224" spans="1:40" ht="10.9" customHeight="1">
      <c r="A224" s="433" t="s">
        <v>995</v>
      </c>
      <c r="B224" s="426" t="s">
        <v>1100</v>
      </c>
      <c r="C224" s="147">
        <v>6000</v>
      </c>
      <c r="D224" s="148" t="s">
        <v>25</v>
      </c>
      <c r="E224" s="149">
        <v>30</v>
      </c>
      <c r="F224" s="147">
        <v>0</v>
      </c>
      <c r="G224" s="150">
        <v>15</v>
      </c>
      <c r="H224" s="147">
        <v>100</v>
      </c>
      <c r="I224" s="150">
        <v>150</v>
      </c>
      <c r="J224" s="151">
        <v>0</v>
      </c>
      <c r="K224" s="150" t="s">
        <v>1101</v>
      </c>
      <c r="L224" s="150"/>
      <c r="M224" s="150"/>
      <c r="N224" s="147" t="s">
        <v>596</v>
      </c>
      <c r="O224" s="152" t="s">
        <v>340</v>
      </c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407"/>
    </row>
    <row r="225" spans="1:40" ht="10.9" customHeight="1">
      <c r="A225" s="433" t="s">
        <v>1263</v>
      </c>
      <c r="B225" s="427" t="s">
        <v>942</v>
      </c>
      <c r="C225" s="159">
        <v>1000</v>
      </c>
      <c r="D225" s="166" t="s">
        <v>25</v>
      </c>
      <c r="E225" s="167">
        <v>18</v>
      </c>
      <c r="F225" s="159">
        <v>0</v>
      </c>
      <c r="G225" s="158">
        <v>5</v>
      </c>
      <c r="H225" s="159">
        <v>100</v>
      </c>
      <c r="I225" s="158">
        <v>150</v>
      </c>
      <c r="J225" s="157">
        <v>0</v>
      </c>
      <c r="K225" s="158" t="s">
        <v>1102</v>
      </c>
      <c r="L225" s="158"/>
      <c r="M225" s="158"/>
      <c r="N225" s="159" t="s">
        <v>596</v>
      </c>
      <c r="O225" s="160" t="s">
        <v>351</v>
      </c>
      <c r="P225" s="156" t="s">
        <v>1270</v>
      </c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6"/>
      <c r="AF225" s="156"/>
      <c r="AG225" s="156"/>
      <c r="AH225" s="156"/>
      <c r="AI225" s="156"/>
      <c r="AJ225" s="156"/>
      <c r="AK225" s="156"/>
      <c r="AL225" s="156"/>
      <c r="AM225" s="156"/>
      <c r="AN225" s="408"/>
    </row>
    <row r="226" spans="1:40" ht="10.9" customHeight="1">
      <c r="A226" s="432" t="s">
        <v>1103</v>
      </c>
      <c r="B226" s="422" t="s">
        <v>1104</v>
      </c>
      <c r="C226" s="128">
        <v>1500</v>
      </c>
      <c r="D226" s="161" t="s">
        <v>25</v>
      </c>
      <c r="E226" s="162">
        <v>24</v>
      </c>
      <c r="F226" s="128">
        <v>0</v>
      </c>
      <c r="G226" s="163">
        <v>10</v>
      </c>
      <c r="H226" s="128">
        <v>100</v>
      </c>
      <c r="I226" s="163">
        <v>150</v>
      </c>
      <c r="J226" s="399">
        <v>0</v>
      </c>
      <c r="K226" s="163" t="s">
        <v>1105</v>
      </c>
      <c r="L226" s="163"/>
      <c r="M226" s="163"/>
      <c r="N226" s="128" t="s">
        <v>596</v>
      </c>
      <c r="O226" s="400" t="s">
        <v>351</v>
      </c>
      <c r="P226" s="127" t="s">
        <v>1270</v>
      </c>
      <c r="Q226" s="127"/>
      <c r="R226" s="127"/>
      <c r="S226" s="127"/>
      <c r="T226" s="127"/>
      <c r="U226" s="127"/>
      <c r="V226" s="127"/>
      <c r="W226" s="127"/>
      <c r="X226" s="127"/>
      <c r="Y226" s="127"/>
      <c r="Z226" s="127"/>
      <c r="AA226" s="127"/>
      <c r="AB226" s="127"/>
      <c r="AC226" s="127"/>
      <c r="AD226" s="127"/>
      <c r="AE226" s="127"/>
      <c r="AF226" s="127"/>
      <c r="AG226" s="127"/>
      <c r="AH226" s="127"/>
      <c r="AI226" s="127"/>
      <c r="AJ226" s="127"/>
      <c r="AK226" s="127"/>
      <c r="AL226" s="127"/>
      <c r="AM226" s="127"/>
      <c r="AN226" s="401"/>
    </row>
    <row r="227" spans="1:40" ht="10.9" customHeight="1">
      <c r="A227" s="433" t="s">
        <v>1263</v>
      </c>
      <c r="B227" s="423" t="s">
        <v>1106</v>
      </c>
      <c r="C227" s="135">
        <v>3000</v>
      </c>
      <c r="D227" s="164" t="s">
        <v>25</v>
      </c>
      <c r="E227" s="165">
        <v>30</v>
      </c>
      <c r="F227" s="135">
        <v>0</v>
      </c>
      <c r="G227" s="134">
        <v>15</v>
      </c>
      <c r="H227" s="135">
        <v>100</v>
      </c>
      <c r="I227" s="134">
        <v>150</v>
      </c>
      <c r="J227" s="133">
        <v>0</v>
      </c>
      <c r="K227" s="134" t="s">
        <v>1107</v>
      </c>
      <c r="L227" s="134"/>
      <c r="M227" s="134"/>
      <c r="N227" s="135" t="s">
        <v>596</v>
      </c>
      <c r="O227" s="136" t="s">
        <v>351</v>
      </c>
      <c r="P227" s="132" t="s">
        <v>1270</v>
      </c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  <c r="AH227" s="132"/>
      <c r="AI227" s="132"/>
      <c r="AJ227" s="132"/>
      <c r="AK227" s="132"/>
      <c r="AL227" s="132"/>
      <c r="AM227" s="132"/>
      <c r="AN227" s="402"/>
    </row>
    <row r="228" spans="1:40" ht="10.9" customHeight="1">
      <c r="A228" s="433" t="s">
        <v>827</v>
      </c>
      <c r="B228" s="424" t="s">
        <v>945</v>
      </c>
      <c r="C228" s="137">
        <v>1000</v>
      </c>
      <c r="D228" s="138" t="s">
        <v>25</v>
      </c>
      <c r="E228" s="139">
        <v>20</v>
      </c>
      <c r="F228" s="137">
        <v>30</v>
      </c>
      <c r="G228" s="140">
        <v>0</v>
      </c>
      <c r="H228" s="137">
        <v>100</v>
      </c>
      <c r="I228" s="140">
        <v>150</v>
      </c>
      <c r="J228" s="141">
        <v>2</v>
      </c>
      <c r="K228" s="140" t="s">
        <v>1108</v>
      </c>
      <c r="L228" s="140"/>
      <c r="M228" s="140"/>
      <c r="N228" s="137" t="s">
        <v>25</v>
      </c>
      <c r="O228" s="142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0"/>
      <c r="AI228" s="140"/>
      <c r="AJ228" s="140"/>
      <c r="AK228" s="140"/>
      <c r="AL228" s="140"/>
      <c r="AM228" s="140"/>
      <c r="AN228" s="403"/>
    </row>
    <row r="229" spans="1:40" ht="10.9" customHeight="1">
      <c r="A229" s="433" t="s">
        <v>934</v>
      </c>
      <c r="B229" s="426" t="s">
        <v>1109</v>
      </c>
      <c r="C229" s="147">
        <v>5000</v>
      </c>
      <c r="D229" s="148" t="s">
        <v>25</v>
      </c>
      <c r="E229" s="149">
        <v>30</v>
      </c>
      <c r="F229" s="147">
        <v>30</v>
      </c>
      <c r="G229" s="150">
        <v>0</v>
      </c>
      <c r="H229" s="147">
        <v>100</v>
      </c>
      <c r="I229" s="150">
        <v>150</v>
      </c>
      <c r="J229" s="151">
        <v>2</v>
      </c>
      <c r="K229" s="150" t="s">
        <v>1110</v>
      </c>
      <c r="L229" s="150"/>
      <c r="M229" s="150"/>
      <c r="N229" s="147" t="s">
        <v>25</v>
      </c>
      <c r="O229" s="152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  <c r="AH229" s="150"/>
      <c r="AI229" s="150"/>
      <c r="AJ229" s="150"/>
      <c r="AK229" s="150"/>
      <c r="AL229" s="150"/>
      <c r="AM229" s="150"/>
      <c r="AN229" s="407"/>
    </row>
    <row r="230" spans="1:40" ht="10.9" customHeight="1">
      <c r="A230" s="433" t="s">
        <v>851</v>
      </c>
      <c r="B230" s="427" t="s">
        <v>947</v>
      </c>
      <c r="C230" s="159">
        <v>500</v>
      </c>
      <c r="D230" s="166" t="s">
        <v>25</v>
      </c>
      <c r="E230" s="167">
        <v>18</v>
      </c>
      <c r="F230" s="159">
        <v>30</v>
      </c>
      <c r="G230" s="158">
        <v>0</v>
      </c>
      <c r="H230" s="159">
        <v>100</v>
      </c>
      <c r="I230" s="158">
        <v>150</v>
      </c>
      <c r="J230" s="157">
        <v>1</v>
      </c>
      <c r="K230" s="158" t="s">
        <v>1111</v>
      </c>
      <c r="L230" s="158"/>
      <c r="M230" s="158"/>
      <c r="N230" s="159" t="s">
        <v>25</v>
      </c>
      <c r="O230" s="160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56"/>
      <c r="AE230" s="156"/>
      <c r="AF230" s="156"/>
      <c r="AG230" s="156"/>
      <c r="AH230" s="156"/>
      <c r="AI230" s="156"/>
      <c r="AJ230" s="156"/>
      <c r="AK230" s="156"/>
      <c r="AL230" s="156"/>
      <c r="AM230" s="156"/>
      <c r="AN230" s="408"/>
    </row>
    <row r="231" spans="1:40" ht="10.9" customHeight="1">
      <c r="A231" s="433" t="s">
        <v>885</v>
      </c>
      <c r="B231" s="423" t="s">
        <v>1112</v>
      </c>
      <c r="C231" s="135">
        <v>2500</v>
      </c>
      <c r="D231" s="164" t="s">
        <v>25</v>
      </c>
      <c r="E231" s="165">
        <v>28</v>
      </c>
      <c r="F231" s="135">
        <v>30</v>
      </c>
      <c r="G231" s="134">
        <v>0</v>
      </c>
      <c r="H231" s="135">
        <v>100</v>
      </c>
      <c r="I231" s="134">
        <v>150</v>
      </c>
      <c r="J231" s="133">
        <v>1</v>
      </c>
      <c r="K231" s="134" t="s">
        <v>1113</v>
      </c>
      <c r="L231" s="134"/>
      <c r="M231" s="134"/>
      <c r="N231" s="135" t="s">
        <v>25</v>
      </c>
      <c r="O231" s="136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32"/>
      <c r="AI231" s="132"/>
      <c r="AJ231" s="132"/>
      <c r="AK231" s="132"/>
      <c r="AL231" s="132"/>
      <c r="AM231" s="132"/>
      <c r="AN231" s="402"/>
    </row>
    <row r="232" spans="1:40" ht="10.9" customHeight="1">
      <c r="A232" s="433" t="s">
        <v>1060</v>
      </c>
      <c r="B232" s="424" t="s">
        <v>1114</v>
      </c>
      <c r="C232" s="137">
        <v>5000</v>
      </c>
      <c r="D232" s="138" t="s">
        <v>25</v>
      </c>
      <c r="E232" s="139">
        <v>30</v>
      </c>
      <c r="F232" s="137">
        <v>30</v>
      </c>
      <c r="G232" s="140">
        <v>15</v>
      </c>
      <c r="H232" s="137">
        <v>150</v>
      </c>
      <c r="I232" s="140">
        <v>100</v>
      </c>
      <c r="J232" s="141">
        <v>3</v>
      </c>
      <c r="K232" s="140" t="s">
        <v>1115</v>
      </c>
      <c r="L232" s="140"/>
      <c r="M232" s="140"/>
      <c r="N232" s="137" t="s">
        <v>336</v>
      </c>
      <c r="O232" s="142" t="s">
        <v>340</v>
      </c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40"/>
      <c r="AF232" s="140"/>
      <c r="AG232" s="140"/>
      <c r="AH232" s="140"/>
      <c r="AI232" s="140"/>
      <c r="AJ232" s="140"/>
      <c r="AK232" s="140"/>
      <c r="AL232" s="140"/>
      <c r="AM232" s="140"/>
      <c r="AN232" s="403"/>
    </row>
    <row r="233" spans="1:40" ht="10.9" customHeight="1">
      <c r="A233" s="433" t="s">
        <v>1263</v>
      </c>
      <c r="B233" s="425" t="s">
        <v>1116</v>
      </c>
      <c r="C233" s="143">
        <v>15000</v>
      </c>
      <c r="D233" s="144" t="s">
        <v>25</v>
      </c>
      <c r="E233" s="145">
        <v>35</v>
      </c>
      <c r="F233" s="143">
        <v>30</v>
      </c>
      <c r="G233" s="146">
        <v>15</v>
      </c>
      <c r="H233" s="143">
        <v>150</v>
      </c>
      <c r="I233" s="146">
        <v>100</v>
      </c>
      <c r="J233" s="404">
        <v>3</v>
      </c>
      <c r="K233" s="146" t="s">
        <v>1117</v>
      </c>
      <c r="L233" s="146"/>
      <c r="M233" s="146"/>
      <c r="N233" s="143" t="s">
        <v>336</v>
      </c>
      <c r="O233" s="405" t="s">
        <v>340</v>
      </c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  <c r="AH233" s="146"/>
      <c r="AI233" s="146"/>
      <c r="AJ233" s="146"/>
      <c r="AK233" s="146"/>
      <c r="AL233" s="146"/>
      <c r="AM233" s="146"/>
      <c r="AN233" s="406"/>
    </row>
    <row r="234" spans="1:40" ht="10.9" customHeight="1">
      <c r="A234" s="432" t="s">
        <v>1118</v>
      </c>
      <c r="B234" s="426" t="s">
        <v>1119</v>
      </c>
      <c r="C234" s="147">
        <v>25000</v>
      </c>
      <c r="D234" s="148" t="s">
        <v>25</v>
      </c>
      <c r="E234" s="149">
        <v>40</v>
      </c>
      <c r="F234" s="147">
        <v>30</v>
      </c>
      <c r="G234" s="150">
        <v>15</v>
      </c>
      <c r="H234" s="147">
        <v>150</v>
      </c>
      <c r="I234" s="150">
        <v>100</v>
      </c>
      <c r="J234" s="151">
        <v>3</v>
      </c>
      <c r="K234" s="150" t="s">
        <v>1120</v>
      </c>
      <c r="L234" s="150"/>
      <c r="M234" s="150"/>
      <c r="N234" s="147" t="s">
        <v>336</v>
      </c>
      <c r="O234" s="152" t="s">
        <v>342</v>
      </c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  <c r="AH234" s="150"/>
      <c r="AI234" s="150"/>
      <c r="AJ234" s="150"/>
      <c r="AK234" s="150"/>
      <c r="AL234" s="150"/>
      <c r="AM234" s="150"/>
      <c r="AN234" s="407"/>
    </row>
    <row r="235" spans="1:40" ht="10.9" customHeight="1">
      <c r="A235" s="433" t="s">
        <v>1263</v>
      </c>
      <c r="B235" s="427" t="s">
        <v>1121</v>
      </c>
      <c r="C235" s="159">
        <v>2000</v>
      </c>
      <c r="D235" s="166">
        <v>300</v>
      </c>
      <c r="E235" s="167">
        <v>40</v>
      </c>
      <c r="F235" s="159">
        <v>0</v>
      </c>
      <c r="G235" s="158">
        <v>10</v>
      </c>
      <c r="H235" s="159">
        <v>100</v>
      </c>
      <c r="I235" s="158">
        <v>100</v>
      </c>
      <c r="J235" s="157"/>
      <c r="K235" s="158"/>
      <c r="L235" s="158"/>
      <c r="M235" s="158"/>
      <c r="N235" s="159" t="s">
        <v>303</v>
      </c>
      <c r="O235" s="160" t="s">
        <v>310</v>
      </c>
      <c r="P235" s="156" t="s">
        <v>318</v>
      </c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56"/>
      <c r="AE235" s="156"/>
      <c r="AF235" s="156"/>
      <c r="AG235" s="156"/>
      <c r="AH235" s="156"/>
      <c r="AI235" s="156"/>
      <c r="AJ235" s="156"/>
      <c r="AK235" s="156"/>
      <c r="AL235" s="156"/>
      <c r="AM235" s="156"/>
      <c r="AN235" s="408"/>
    </row>
    <row r="236" spans="1:40" ht="10.9" customHeight="1">
      <c r="A236" s="433" t="s">
        <v>904</v>
      </c>
      <c r="B236" s="422" t="s">
        <v>1122</v>
      </c>
      <c r="C236" s="128">
        <v>2500</v>
      </c>
      <c r="D236" s="161">
        <v>300</v>
      </c>
      <c r="E236" s="162">
        <v>40</v>
      </c>
      <c r="F236" s="128">
        <v>0</v>
      </c>
      <c r="G236" s="163">
        <v>10</v>
      </c>
      <c r="H236" s="128">
        <v>100</v>
      </c>
      <c r="I236" s="163">
        <v>100</v>
      </c>
      <c r="J236" s="399"/>
      <c r="K236" s="163"/>
      <c r="L236" s="163"/>
      <c r="M236" s="163"/>
      <c r="N236" s="128" t="s">
        <v>293</v>
      </c>
      <c r="O236" s="400" t="s">
        <v>290</v>
      </c>
      <c r="P236" s="127" t="s">
        <v>297</v>
      </c>
      <c r="Q236" s="127"/>
      <c r="R236" s="127"/>
      <c r="S236" s="127"/>
      <c r="T236" s="127"/>
      <c r="U236" s="127"/>
      <c r="V236" s="127"/>
      <c r="W236" s="127"/>
      <c r="X236" s="127"/>
      <c r="Y236" s="127"/>
      <c r="Z236" s="127"/>
      <c r="AA236" s="127"/>
      <c r="AB236" s="127"/>
      <c r="AC236" s="127"/>
      <c r="AD236" s="127"/>
      <c r="AE236" s="127"/>
      <c r="AF236" s="127"/>
      <c r="AG236" s="127"/>
      <c r="AH236" s="127"/>
      <c r="AI236" s="127"/>
      <c r="AJ236" s="127"/>
      <c r="AK236" s="127"/>
      <c r="AL236" s="127"/>
      <c r="AM236" s="127"/>
      <c r="AN236" s="401"/>
    </row>
    <row r="237" spans="1:40" ht="10.9" customHeight="1">
      <c r="A237" s="433" t="s">
        <v>990</v>
      </c>
      <c r="B237" s="422" t="s">
        <v>1123</v>
      </c>
      <c r="C237" s="128">
        <v>3000</v>
      </c>
      <c r="D237" s="161">
        <v>300</v>
      </c>
      <c r="E237" s="162">
        <v>40</v>
      </c>
      <c r="F237" s="128">
        <v>0</v>
      </c>
      <c r="G237" s="163">
        <v>10</v>
      </c>
      <c r="H237" s="128">
        <v>100</v>
      </c>
      <c r="I237" s="163">
        <v>100</v>
      </c>
      <c r="J237" s="399"/>
      <c r="K237" s="163"/>
      <c r="L237" s="163"/>
      <c r="M237" s="163"/>
      <c r="N237" s="128" t="s">
        <v>285</v>
      </c>
      <c r="O237" s="400" t="s">
        <v>299</v>
      </c>
      <c r="P237" s="127" t="s">
        <v>333</v>
      </c>
      <c r="Q237" s="127" t="s">
        <v>345</v>
      </c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127"/>
      <c r="AD237" s="127"/>
      <c r="AE237" s="127"/>
      <c r="AF237" s="127"/>
      <c r="AG237" s="127"/>
      <c r="AH237" s="127"/>
      <c r="AI237" s="127"/>
      <c r="AJ237" s="127"/>
      <c r="AK237" s="127"/>
      <c r="AL237" s="127"/>
      <c r="AM237" s="127"/>
      <c r="AN237" s="401"/>
    </row>
    <row r="238" spans="1:40" ht="10.9" customHeight="1">
      <c r="A238" s="433" t="s">
        <v>956</v>
      </c>
      <c r="B238" s="422" t="s">
        <v>1124</v>
      </c>
      <c r="C238" s="128">
        <v>4000</v>
      </c>
      <c r="D238" s="161">
        <v>300</v>
      </c>
      <c r="E238" s="162">
        <v>40</v>
      </c>
      <c r="F238" s="128">
        <v>0</v>
      </c>
      <c r="G238" s="163">
        <v>10</v>
      </c>
      <c r="H238" s="128">
        <v>100</v>
      </c>
      <c r="I238" s="163">
        <v>100</v>
      </c>
      <c r="J238" s="399"/>
      <c r="K238" s="163"/>
      <c r="L238" s="163"/>
      <c r="M238" s="163"/>
      <c r="N238" s="128" t="s">
        <v>281</v>
      </c>
      <c r="O238" s="400" t="s">
        <v>279</v>
      </c>
      <c r="P238" s="127"/>
      <c r="Q238" s="127"/>
      <c r="R238" s="127"/>
      <c r="S238" s="127"/>
      <c r="T238" s="127"/>
      <c r="U238" s="127"/>
      <c r="V238" s="127"/>
      <c r="W238" s="127"/>
      <c r="X238" s="127"/>
      <c r="Y238" s="127"/>
      <c r="Z238" s="127"/>
      <c r="AA238" s="127"/>
      <c r="AB238" s="127"/>
      <c r="AC238" s="127"/>
      <c r="AD238" s="127"/>
      <c r="AE238" s="127"/>
      <c r="AF238" s="127"/>
      <c r="AG238" s="127"/>
      <c r="AH238" s="127"/>
      <c r="AI238" s="127"/>
      <c r="AJ238" s="127"/>
      <c r="AK238" s="127"/>
      <c r="AL238" s="127"/>
      <c r="AM238" s="127"/>
      <c r="AN238" s="401"/>
    </row>
    <row r="239" spans="1:40" ht="10.9" customHeight="1">
      <c r="A239" s="433" t="s">
        <v>985</v>
      </c>
      <c r="B239" s="422" t="s">
        <v>1125</v>
      </c>
      <c r="C239" s="128">
        <v>5000</v>
      </c>
      <c r="D239" s="161">
        <v>500</v>
      </c>
      <c r="E239" s="162">
        <v>40</v>
      </c>
      <c r="F239" s="128">
        <v>0</v>
      </c>
      <c r="G239" s="163">
        <v>10</v>
      </c>
      <c r="H239" s="128">
        <v>100</v>
      </c>
      <c r="I239" s="163">
        <v>100</v>
      </c>
      <c r="J239" s="399"/>
      <c r="K239" s="163"/>
      <c r="L239" s="163"/>
      <c r="M239" s="163"/>
      <c r="N239" s="128" t="s">
        <v>277</v>
      </c>
      <c r="O239" s="400" t="s">
        <v>316</v>
      </c>
      <c r="P239" s="127" t="s">
        <v>347</v>
      </c>
      <c r="Q239" s="127"/>
      <c r="R239" s="127"/>
      <c r="S239" s="127"/>
      <c r="T239" s="127"/>
      <c r="U239" s="127"/>
      <c r="V239" s="127"/>
      <c r="W239" s="127"/>
      <c r="X239" s="127"/>
      <c r="Y239" s="127"/>
      <c r="Z239" s="127"/>
      <c r="AA239" s="127"/>
      <c r="AB239" s="127"/>
      <c r="AC239" s="127"/>
      <c r="AD239" s="127"/>
      <c r="AE239" s="127"/>
      <c r="AF239" s="127"/>
      <c r="AG239" s="127"/>
      <c r="AH239" s="127"/>
      <c r="AI239" s="127"/>
      <c r="AJ239" s="127"/>
      <c r="AK239" s="127"/>
      <c r="AL239" s="127"/>
      <c r="AM239" s="127"/>
      <c r="AN239" s="401"/>
    </row>
    <row r="240" spans="1:40" ht="10.9" customHeight="1">
      <c r="A240" s="433" t="s">
        <v>987</v>
      </c>
      <c r="B240" s="422" t="s">
        <v>1126</v>
      </c>
      <c r="C240" s="128">
        <v>6000</v>
      </c>
      <c r="D240" s="161">
        <v>500</v>
      </c>
      <c r="E240" s="162">
        <v>40</v>
      </c>
      <c r="F240" s="128">
        <v>0</v>
      </c>
      <c r="G240" s="163">
        <v>10</v>
      </c>
      <c r="H240" s="128">
        <v>100</v>
      </c>
      <c r="I240" s="163">
        <v>100</v>
      </c>
      <c r="J240" s="399"/>
      <c r="K240" s="163"/>
      <c r="L240" s="163"/>
      <c r="M240" s="163"/>
      <c r="N240" s="128" t="s">
        <v>282</v>
      </c>
      <c r="O240" s="400" t="s">
        <v>287</v>
      </c>
      <c r="P240" s="127"/>
      <c r="Q240" s="127"/>
      <c r="R240" s="127"/>
      <c r="S240" s="127"/>
      <c r="T240" s="127"/>
      <c r="U240" s="127"/>
      <c r="V240" s="127"/>
      <c r="W240" s="127"/>
      <c r="X240" s="127"/>
      <c r="Y240" s="127"/>
      <c r="Z240" s="127"/>
      <c r="AA240" s="127"/>
      <c r="AB240" s="127"/>
      <c r="AC240" s="127"/>
      <c r="AD240" s="127"/>
      <c r="AE240" s="127"/>
      <c r="AF240" s="127"/>
      <c r="AG240" s="127"/>
      <c r="AH240" s="127"/>
      <c r="AI240" s="127"/>
      <c r="AJ240" s="127"/>
      <c r="AK240" s="127"/>
      <c r="AL240" s="127"/>
      <c r="AM240" s="127"/>
      <c r="AN240" s="401"/>
    </row>
    <row r="241" spans="1:40" ht="10.9" customHeight="1">
      <c r="A241" s="433" t="s">
        <v>1263</v>
      </c>
      <c r="B241" s="422" t="s">
        <v>1127</v>
      </c>
      <c r="C241" s="128">
        <v>7000</v>
      </c>
      <c r="D241" s="161">
        <v>500</v>
      </c>
      <c r="E241" s="162">
        <v>40</v>
      </c>
      <c r="F241" s="128">
        <v>0</v>
      </c>
      <c r="G241" s="163">
        <v>10</v>
      </c>
      <c r="H241" s="128">
        <v>100</v>
      </c>
      <c r="I241" s="163">
        <v>100</v>
      </c>
      <c r="J241" s="399"/>
      <c r="K241" s="163"/>
      <c r="L241" s="163"/>
      <c r="M241" s="163"/>
      <c r="N241" s="128" t="s">
        <v>279</v>
      </c>
      <c r="O241" s="400" t="s">
        <v>356</v>
      </c>
      <c r="P241" s="127"/>
      <c r="Q241" s="127"/>
      <c r="R241" s="127"/>
      <c r="S241" s="127"/>
      <c r="T241" s="127"/>
      <c r="U241" s="127"/>
      <c r="V241" s="127"/>
      <c r="W241" s="127"/>
      <c r="X241" s="127"/>
      <c r="Y241" s="127"/>
      <c r="Z241" s="127"/>
      <c r="AA241" s="127"/>
      <c r="AB241" s="127"/>
      <c r="AC241" s="127"/>
      <c r="AD241" s="127"/>
      <c r="AE241" s="127"/>
      <c r="AF241" s="127"/>
      <c r="AG241" s="127"/>
      <c r="AH241" s="127"/>
      <c r="AI241" s="127"/>
      <c r="AJ241" s="127"/>
      <c r="AK241" s="127"/>
      <c r="AL241" s="127"/>
      <c r="AM241" s="127"/>
      <c r="AN241" s="401"/>
    </row>
    <row r="242" spans="1:40" ht="10.9" customHeight="1">
      <c r="A242" s="432" t="s">
        <v>1128</v>
      </c>
      <c r="B242" s="422" t="s">
        <v>1129</v>
      </c>
      <c r="C242" s="128">
        <v>7500</v>
      </c>
      <c r="D242" s="161">
        <v>500</v>
      </c>
      <c r="E242" s="162">
        <v>40</v>
      </c>
      <c r="F242" s="128">
        <v>0</v>
      </c>
      <c r="G242" s="163">
        <v>10</v>
      </c>
      <c r="H242" s="128">
        <v>100</v>
      </c>
      <c r="I242" s="163">
        <v>100</v>
      </c>
      <c r="J242" s="399"/>
      <c r="K242" s="163"/>
      <c r="L242" s="163"/>
      <c r="M242" s="163"/>
      <c r="N242" s="128" t="s">
        <v>299</v>
      </c>
      <c r="O242" s="400" t="s">
        <v>334</v>
      </c>
      <c r="P242" s="127"/>
      <c r="Q242" s="127"/>
      <c r="R242" s="127"/>
      <c r="S242" s="127"/>
      <c r="T242" s="127"/>
      <c r="U242" s="127"/>
      <c r="V242" s="127"/>
      <c r="W242" s="127"/>
      <c r="X242" s="127"/>
      <c r="Y242" s="127"/>
      <c r="Z242" s="127"/>
      <c r="AA242" s="127"/>
      <c r="AB242" s="127"/>
      <c r="AC242" s="127"/>
      <c r="AD242" s="127"/>
      <c r="AE242" s="127"/>
      <c r="AF242" s="127"/>
      <c r="AG242" s="127"/>
      <c r="AH242" s="127"/>
      <c r="AI242" s="127"/>
      <c r="AJ242" s="127"/>
      <c r="AK242" s="127"/>
      <c r="AL242" s="127"/>
      <c r="AM242" s="127"/>
      <c r="AN242" s="401"/>
    </row>
    <row r="243" spans="1:40" ht="10.9" customHeight="1">
      <c r="A243" s="433" t="s">
        <v>1263</v>
      </c>
      <c r="B243" s="423" t="s">
        <v>1130</v>
      </c>
      <c r="C243" s="135">
        <v>8000</v>
      </c>
      <c r="D243" s="164">
        <v>1000</v>
      </c>
      <c r="E243" s="165">
        <v>40</v>
      </c>
      <c r="F243" s="135">
        <v>0</v>
      </c>
      <c r="G243" s="134">
        <v>10</v>
      </c>
      <c r="H243" s="135">
        <v>100</v>
      </c>
      <c r="I243" s="134">
        <v>100</v>
      </c>
      <c r="J243" s="133"/>
      <c r="K243" s="134"/>
      <c r="L243" s="134"/>
      <c r="M243" s="134"/>
      <c r="N243" s="135" t="s">
        <v>294</v>
      </c>
      <c r="O243" s="136" t="s">
        <v>298</v>
      </c>
      <c r="P243" s="132" t="s">
        <v>284</v>
      </c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32"/>
      <c r="AI243" s="132"/>
      <c r="AJ243" s="132"/>
      <c r="AK243" s="132"/>
      <c r="AL243" s="132"/>
      <c r="AM243" s="132"/>
      <c r="AN243" s="402"/>
    </row>
    <row r="244" spans="1:40" ht="10.9" customHeight="1">
      <c r="A244" s="433" t="s">
        <v>999</v>
      </c>
      <c r="B244" s="428" t="s">
        <v>1131</v>
      </c>
      <c r="C244" s="168">
        <v>1000</v>
      </c>
      <c r="D244" s="169" t="s">
        <v>25</v>
      </c>
      <c r="E244" s="170">
        <v>50</v>
      </c>
      <c r="F244" s="168">
        <v>0</v>
      </c>
      <c r="G244" s="171">
        <v>0</v>
      </c>
      <c r="H244" s="168">
        <v>100</v>
      </c>
      <c r="I244" s="171">
        <v>100</v>
      </c>
      <c r="J244" s="172">
        <v>4</v>
      </c>
      <c r="K244" s="171" t="s">
        <v>1132</v>
      </c>
      <c r="L244" s="171"/>
      <c r="M244" s="171"/>
      <c r="N244" s="168" t="s">
        <v>25</v>
      </c>
      <c r="O244" s="173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409"/>
    </row>
    <row r="245" spans="1:40" ht="10.9" customHeight="1">
      <c r="A245" s="433" t="s">
        <v>1062</v>
      </c>
      <c r="B245" s="422" t="s">
        <v>613</v>
      </c>
      <c r="C245" s="159">
        <v>250</v>
      </c>
      <c r="D245" s="166" t="s">
        <v>25</v>
      </c>
      <c r="E245" s="167">
        <v>5</v>
      </c>
      <c r="F245" s="159">
        <v>30</v>
      </c>
      <c r="G245" s="158">
        <v>0</v>
      </c>
      <c r="H245" s="159">
        <v>100</v>
      </c>
      <c r="I245" s="158">
        <v>100</v>
      </c>
      <c r="J245" s="157"/>
      <c r="K245" s="158"/>
      <c r="L245" s="158"/>
      <c r="M245" s="158"/>
      <c r="N245" s="159" t="s">
        <v>25</v>
      </c>
      <c r="O245" s="160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56"/>
      <c r="AE245" s="156"/>
      <c r="AF245" s="156"/>
      <c r="AG245" s="156"/>
      <c r="AH245" s="156"/>
      <c r="AI245" s="156"/>
      <c r="AJ245" s="156"/>
      <c r="AK245" s="156"/>
      <c r="AL245" s="156"/>
      <c r="AM245" s="156"/>
      <c r="AN245" s="408"/>
    </row>
    <row r="246" spans="1:40" ht="10.9" customHeight="1">
      <c r="A246" s="433" t="s">
        <v>1052</v>
      </c>
      <c r="B246" s="422" t="s">
        <v>1133</v>
      </c>
      <c r="C246" s="135">
        <v>10000</v>
      </c>
      <c r="D246" s="164" t="s">
        <v>25</v>
      </c>
      <c r="E246" s="165">
        <v>25</v>
      </c>
      <c r="F246" s="135">
        <v>0</v>
      </c>
      <c r="G246" s="134">
        <v>10</v>
      </c>
      <c r="H246" s="135">
        <v>100</v>
      </c>
      <c r="I246" s="134">
        <v>100</v>
      </c>
      <c r="J246" s="133">
        <v>0</v>
      </c>
      <c r="K246" s="134" t="s">
        <v>1134</v>
      </c>
      <c r="L246" s="134"/>
      <c r="M246" s="134"/>
      <c r="N246" s="135" t="s">
        <v>293</v>
      </c>
      <c r="O246" s="136" t="s">
        <v>320</v>
      </c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32"/>
      <c r="AI246" s="132"/>
      <c r="AJ246" s="132"/>
      <c r="AK246" s="132"/>
      <c r="AL246" s="132"/>
      <c r="AM246" s="132"/>
      <c r="AN246" s="402"/>
    </row>
    <row r="247" spans="1:40" ht="10.9" customHeight="1">
      <c r="A247" s="433" t="s">
        <v>1263</v>
      </c>
      <c r="B247" s="424" t="s">
        <v>690</v>
      </c>
      <c r="C247" s="137">
        <v>2000</v>
      </c>
      <c r="D247" s="138" t="s">
        <v>25</v>
      </c>
      <c r="E247" s="139">
        <v>10</v>
      </c>
      <c r="F247" s="137">
        <v>30</v>
      </c>
      <c r="G247" s="140">
        <v>1</v>
      </c>
      <c r="H247" s="137">
        <v>100</v>
      </c>
      <c r="I247" s="140">
        <v>100</v>
      </c>
      <c r="J247" s="141">
        <v>1</v>
      </c>
      <c r="K247" s="140" t="s">
        <v>1135</v>
      </c>
      <c r="L247" s="140"/>
      <c r="M247" s="140"/>
      <c r="N247" s="137" t="s">
        <v>346</v>
      </c>
      <c r="O247" s="142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40"/>
      <c r="AF247" s="140"/>
      <c r="AG247" s="140"/>
      <c r="AH247" s="140"/>
      <c r="AI247" s="140"/>
      <c r="AJ247" s="140"/>
      <c r="AK247" s="140"/>
      <c r="AL247" s="140"/>
      <c r="AM247" s="140"/>
      <c r="AN247" s="403"/>
    </row>
    <row r="248" spans="1:40" ht="10.9" customHeight="1">
      <c r="A248" s="432" t="s">
        <v>1136</v>
      </c>
      <c r="B248" s="426" t="s">
        <v>895</v>
      </c>
      <c r="C248" s="147">
        <v>15000</v>
      </c>
      <c r="D248" s="148" t="s">
        <v>25</v>
      </c>
      <c r="E248" s="149">
        <v>20</v>
      </c>
      <c r="F248" s="147">
        <v>60</v>
      </c>
      <c r="G248" s="150">
        <v>1</v>
      </c>
      <c r="H248" s="147">
        <v>100</v>
      </c>
      <c r="I248" s="150">
        <v>150</v>
      </c>
      <c r="J248" s="151">
        <v>1</v>
      </c>
      <c r="K248" s="150" t="s">
        <v>1137</v>
      </c>
      <c r="L248" s="150" t="s">
        <v>1274</v>
      </c>
      <c r="M248" s="150" t="s">
        <v>595</v>
      </c>
      <c r="N248" s="147" t="s">
        <v>346</v>
      </c>
      <c r="O248" s="152" t="s">
        <v>594</v>
      </c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  <c r="AH248" s="150"/>
      <c r="AI248" s="150"/>
      <c r="AJ248" s="150"/>
      <c r="AK248" s="150"/>
      <c r="AL248" s="150"/>
      <c r="AM248" s="150"/>
      <c r="AN248" s="407"/>
    </row>
    <row r="249" spans="1:40" ht="10.9" customHeight="1">
      <c r="A249" s="433" t="s">
        <v>1263</v>
      </c>
      <c r="B249" s="427" t="s">
        <v>710</v>
      </c>
      <c r="C249" s="159">
        <v>10000</v>
      </c>
      <c r="D249" s="166" t="s">
        <v>25</v>
      </c>
      <c r="E249" s="167">
        <v>10</v>
      </c>
      <c r="F249" s="159">
        <v>30</v>
      </c>
      <c r="G249" s="158">
        <v>0</v>
      </c>
      <c r="H249" s="159">
        <v>100</v>
      </c>
      <c r="I249" s="158">
        <v>150</v>
      </c>
      <c r="J249" s="157">
        <v>1</v>
      </c>
      <c r="K249" s="158" t="s">
        <v>1138</v>
      </c>
      <c r="L249" s="158" t="s">
        <v>358</v>
      </c>
      <c r="M249" s="158"/>
      <c r="N249" s="159" t="s">
        <v>25</v>
      </c>
      <c r="O249" s="160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156"/>
      <c r="AC249" s="156"/>
      <c r="AD249" s="156"/>
      <c r="AE249" s="156"/>
      <c r="AF249" s="156"/>
      <c r="AG249" s="156"/>
      <c r="AH249" s="156"/>
      <c r="AI249" s="156"/>
      <c r="AJ249" s="156"/>
      <c r="AK249" s="156"/>
      <c r="AL249" s="156"/>
      <c r="AM249" s="156"/>
      <c r="AN249" s="408"/>
    </row>
    <row r="250" spans="1:40" ht="10.9" customHeight="1">
      <c r="A250" s="433" t="s">
        <v>782</v>
      </c>
      <c r="B250" s="422" t="s">
        <v>908</v>
      </c>
      <c r="C250" s="128">
        <v>5000</v>
      </c>
      <c r="D250" s="161" t="s">
        <v>25</v>
      </c>
      <c r="E250" s="162">
        <v>15</v>
      </c>
      <c r="F250" s="128">
        <v>30</v>
      </c>
      <c r="G250" s="163">
        <v>7</v>
      </c>
      <c r="H250" s="128">
        <v>100</v>
      </c>
      <c r="I250" s="163">
        <v>150</v>
      </c>
      <c r="J250" s="399">
        <v>1</v>
      </c>
      <c r="K250" s="163" t="s">
        <v>1138</v>
      </c>
      <c r="L250" s="163" t="s">
        <v>358</v>
      </c>
      <c r="M250" s="163"/>
      <c r="N250" s="128" t="s">
        <v>343</v>
      </c>
      <c r="O250" s="400" t="s">
        <v>355</v>
      </c>
      <c r="P250" s="127" t="s">
        <v>333</v>
      </c>
      <c r="Q250" s="127"/>
      <c r="R250" s="127"/>
      <c r="S250" s="127"/>
      <c r="T250" s="127"/>
      <c r="U250" s="127"/>
      <c r="V250" s="127"/>
      <c r="W250" s="127"/>
      <c r="X250" s="127"/>
      <c r="Y250" s="127"/>
      <c r="Z250" s="127"/>
      <c r="AA250" s="127"/>
      <c r="AB250" s="127"/>
      <c r="AC250" s="127"/>
      <c r="AD250" s="127"/>
      <c r="AE250" s="127"/>
      <c r="AF250" s="127"/>
      <c r="AG250" s="127"/>
      <c r="AH250" s="127"/>
      <c r="AI250" s="127"/>
      <c r="AJ250" s="127"/>
      <c r="AK250" s="127"/>
      <c r="AL250" s="127"/>
      <c r="AM250" s="127"/>
      <c r="AN250" s="401"/>
    </row>
    <row r="251" spans="1:40" ht="10.9" customHeight="1">
      <c r="A251" s="433" t="s">
        <v>785</v>
      </c>
      <c r="B251" s="422" t="s">
        <v>1034</v>
      </c>
      <c r="C251" s="128">
        <v>15000</v>
      </c>
      <c r="D251" s="161" t="s">
        <v>25</v>
      </c>
      <c r="E251" s="162">
        <v>20</v>
      </c>
      <c r="F251" s="128">
        <v>30</v>
      </c>
      <c r="G251" s="163">
        <v>7</v>
      </c>
      <c r="H251" s="128">
        <v>100</v>
      </c>
      <c r="I251" s="163">
        <v>150</v>
      </c>
      <c r="J251" s="399">
        <v>1</v>
      </c>
      <c r="K251" s="163" t="s">
        <v>1138</v>
      </c>
      <c r="L251" s="163" t="s">
        <v>358</v>
      </c>
      <c r="M251" s="163"/>
      <c r="N251" s="128" t="s">
        <v>343</v>
      </c>
      <c r="O251" s="400" t="s">
        <v>355</v>
      </c>
      <c r="P251" s="127" t="s">
        <v>314</v>
      </c>
      <c r="Q251" s="127"/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127"/>
      <c r="AD251" s="127"/>
      <c r="AE251" s="127"/>
      <c r="AF251" s="127"/>
      <c r="AG251" s="127"/>
      <c r="AH251" s="127"/>
      <c r="AI251" s="127"/>
      <c r="AJ251" s="127"/>
      <c r="AK251" s="127"/>
      <c r="AL251" s="127"/>
      <c r="AM251" s="127"/>
      <c r="AN251" s="401"/>
    </row>
    <row r="252" spans="1:40" ht="10.9" customHeight="1">
      <c r="A252" s="433" t="s">
        <v>1072</v>
      </c>
      <c r="B252" s="422" t="s">
        <v>1048</v>
      </c>
      <c r="C252" s="128">
        <v>10000</v>
      </c>
      <c r="D252" s="161" t="s">
        <v>25</v>
      </c>
      <c r="E252" s="162">
        <v>20</v>
      </c>
      <c r="F252" s="128">
        <v>30</v>
      </c>
      <c r="G252" s="163">
        <v>7</v>
      </c>
      <c r="H252" s="128">
        <v>100</v>
      </c>
      <c r="I252" s="163">
        <v>150</v>
      </c>
      <c r="J252" s="399">
        <v>1</v>
      </c>
      <c r="K252" s="163" t="s">
        <v>1138</v>
      </c>
      <c r="L252" s="163" t="s">
        <v>358</v>
      </c>
      <c r="M252" s="163"/>
      <c r="N252" s="128" t="s">
        <v>314</v>
      </c>
      <c r="O252" s="400"/>
      <c r="P252" s="127"/>
      <c r="Q252" s="127"/>
      <c r="R252" s="127"/>
      <c r="S252" s="127"/>
      <c r="T252" s="127"/>
      <c r="U252" s="127"/>
      <c r="V252" s="127"/>
      <c r="W252" s="127"/>
      <c r="X252" s="127"/>
      <c r="Y252" s="127"/>
      <c r="Z252" s="127"/>
      <c r="AA252" s="127"/>
      <c r="AB252" s="127"/>
      <c r="AC252" s="127"/>
      <c r="AD252" s="127"/>
      <c r="AE252" s="127"/>
      <c r="AF252" s="127"/>
      <c r="AG252" s="127"/>
      <c r="AH252" s="127"/>
      <c r="AI252" s="127"/>
      <c r="AJ252" s="127"/>
      <c r="AK252" s="127"/>
      <c r="AL252" s="127"/>
      <c r="AM252" s="127"/>
      <c r="AN252" s="401"/>
    </row>
    <row r="253" spans="1:40" ht="10.9" customHeight="1">
      <c r="A253" s="433" t="s">
        <v>1263</v>
      </c>
      <c r="B253" s="423" t="s">
        <v>1051</v>
      </c>
      <c r="C253" s="135">
        <v>10000</v>
      </c>
      <c r="D253" s="164" t="s">
        <v>25</v>
      </c>
      <c r="E253" s="165">
        <v>25</v>
      </c>
      <c r="F253" s="135">
        <v>30</v>
      </c>
      <c r="G253" s="134">
        <v>7</v>
      </c>
      <c r="H253" s="135">
        <v>100</v>
      </c>
      <c r="I253" s="134">
        <v>150</v>
      </c>
      <c r="J253" s="133">
        <v>1.5</v>
      </c>
      <c r="K253" s="134" t="s">
        <v>1139</v>
      </c>
      <c r="L253" s="134"/>
      <c r="M253" s="134"/>
      <c r="N253" s="135" t="s">
        <v>328</v>
      </c>
      <c r="O253" s="136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  <c r="AH253" s="132"/>
      <c r="AI253" s="132"/>
      <c r="AJ253" s="132"/>
      <c r="AK253" s="132"/>
      <c r="AL253" s="132"/>
      <c r="AM253" s="132"/>
      <c r="AN253" s="402"/>
    </row>
    <row r="254" spans="1:40" ht="10.9" customHeight="1">
      <c r="A254" s="432" t="s">
        <v>1140</v>
      </c>
      <c r="B254" s="428" t="s">
        <v>823</v>
      </c>
      <c r="C254" s="168">
        <v>4000</v>
      </c>
      <c r="D254" s="169">
        <v>1500</v>
      </c>
      <c r="E254" s="170">
        <v>10</v>
      </c>
      <c r="F254" s="168">
        <v>30</v>
      </c>
      <c r="G254" s="171">
        <v>1</v>
      </c>
      <c r="H254" s="168">
        <v>150</v>
      </c>
      <c r="I254" s="171">
        <v>150</v>
      </c>
      <c r="J254" s="172">
        <v>1.5</v>
      </c>
      <c r="K254" s="171" t="s">
        <v>1141</v>
      </c>
      <c r="L254" s="171"/>
      <c r="M254" s="171"/>
      <c r="N254" s="168" t="s">
        <v>316</v>
      </c>
      <c r="O254" s="173" t="s">
        <v>333</v>
      </c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409"/>
    </row>
    <row r="255" spans="1:40" ht="10.9" customHeight="1">
      <c r="A255" s="433" t="s">
        <v>1263</v>
      </c>
      <c r="B255" s="427" t="s">
        <v>830</v>
      </c>
      <c r="C255" s="159">
        <v>100</v>
      </c>
      <c r="D255" s="166" t="s">
        <v>25</v>
      </c>
      <c r="E255" s="167">
        <v>10</v>
      </c>
      <c r="F255" s="159">
        <v>15</v>
      </c>
      <c r="G255" s="158">
        <v>0</v>
      </c>
      <c r="H255" s="159">
        <v>100</v>
      </c>
      <c r="I255" s="158">
        <v>100</v>
      </c>
      <c r="J255" s="157"/>
      <c r="K255" s="158"/>
      <c r="L255" s="158"/>
      <c r="M255" s="158"/>
      <c r="N255" s="159" t="s">
        <v>25</v>
      </c>
      <c r="O255" s="160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156"/>
      <c r="AC255" s="156"/>
      <c r="AD255" s="156"/>
      <c r="AE255" s="156"/>
      <c r="AF255" s="156"/>
      <c r="AG255" s="156"/>
      <c r="AH255" s="156"/>
      <c r="AI255" s="156"/>
      <c r="AJ255" s="156"/>
      <c r="AK255" s="156"/>
      <c r="AL255" s="156"/>
      <c r="AM255" s="156"/>
      <c r="AN255" s="408"/>
    </row>
    <row r="256" spans="1:40" ht="10.9" customHeight="1">
      <c r="A256" s="433" t="s">
        <v>1142</v>
      </c>
      <c r="B256" s="423" t="s">
        <v>832</v>
      </c>
      <c r="C256" s="135">
        <v>2500</v>
      </c>
      <c r="D256" s="164" t="s">
        <v>25</v>
      </c>
      <c r="E256" s="165">
        <v>10</v>
      </c>
      <c r="F256" s="135">
        <v>15</v>
      </c>
      <c r="G256" s="134">
        <v>1</v>
      </c>
      <c r="H256" s="135">
        <v>100</v>
      </c>
      <c r="I256" s="134">
        <v>100</v>
      </c>
      <c r="J256" s="133">
        <v>1.5</v>
      </c>
      <c r="K256" s="134" t="s">
        <v>1143</v>
      </c>
      <c r="L256" s="134"/>
      <c r="M256" s="134"/>
      <c r="N256" s="135" t="s">
        <v>314</v>
      </c>
      <c r="O256" s="136" t="s">
        <v>351</v>
      </c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32"/>
      <c r="AI256" s="132"/>
      <c r="AJ256" s="132"/>
      <c r="AK256" s="132"/>
      <c r="AL256" s="132"/>
      <c r="AM256" s="132"/>
      <c r="AN256" s="402"/>
    </row>
    <row r="257" spans="1:40" ht="10.9" customHeight="1">
      <c r="A257" s="433" t="s">
        <v>1263</v>
      </c>
      <c r="B257" s="424" t="s">
        <v>766</v>
      </c>
      <c r="C257" s="137">
        <v>3000</v>
      </c>
      <c r="D257" s="138">
        <v>1000</v>
      </c>
      <c r="E257" s="139">
        <v>10</v>
      </c>
      <c r="F257" s="137">
        <v>30</v>
      </c>
      <c r="G257" s="140">
        <v>7</v>
      </c>
      <c r="H257" s="137">
        <v>100</v>
      </c>
      <c r="I257" s="140" t="s">
        <v>623</v>
      </c>
      <c r="J257" s="141">
        <v>1.5</v>
      </c>
      <c r="K257" s="140" t="s">
        <v>1144</v>
      </c>
      <c r="L257" s="140"/>
      <c r="M257" s="140"/>
      <c r="N257" s="137" t="s">
        <v>275</v>
      </c>
      <c r="O257" s="142" t="s">
        <v>596</v>
      </c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40"/>
      <c r="AF257" s="140"/>
      <c r="AG257" s="140"/>
      <c r="AH257" s="140"/>
      <c r="AI257" s="140"/>
      <c r="AJ257" s="140"/>
      <c r="AK257" s="140"/>
      <c r="AL257" s="140"/>
      <c r="AM257" s="140"/>
      <c r="AN257" s="403"/>
    </row>
    <row r="258" spans="1:40" ht="10.9" customHeight="1">
      <c r="A258" s="432" t="s">
        <v>1145</v>
      </c>
      <c r="B258" s="426" t="s">
        <v>1146</v>
      </c>
      <c r="C258" s="147">
        <v>18000</v>
      </c>
      <c r="D258" s="148">
        <v>1000</v>
      </c>
      <c r="E258" s="149">
        <v>40</v>
      </c>
      <c r="F258" s="147">
        <v>30</v>
      </c>
      <c r="G258" s="150">
        <v>10</v>
      </c>
      <c r="H258" s="147">
        <v>100</v>
      </c>
      <c r="I258" s="150" t="s">
        <v>623</v>
      </c>
      <c r="J258" s="151">
        <v>1.5</v>
      </c>
      <c r="K258" s="150" t="s">
        <v>1147</v>
      </c>
      <c r="L258" s="150"/>
      <c r="M258" s="150"/>
      <c r="N258" s="147" t="s">
        <v>284</v>
      </c>
      <c r="O258" s="152" t="s">
        <v>587</v>
      </c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407"/>
    </row>
    <row r="259" spans="1:40" ht="10.9" customHeight="1">
      <c r="A259" s="433" t="s">
        <v>1263</v>
      </c>
      <c r="B259" s="427" t="s">
        <v>78</v>
      </c>
      <c r="C259" s="159">
        <v>6000</v>
      </c>
      <c r="D259" s="166">
        <v>1500</v>
      </c>
      <c r="E259" s="167">
        <v>15</v>
      </c>
      <c r="F259" s="159">
        <v>30</v>
      </c>
      <c r="G259" s="158">
        <v>7</v>
      </c>
      <c r="H259" s="159">
        <v>100</v>
      </c>
      <c r="I259" s="158">
        <v>100</v>
      </c>
      <c r="J259" s="157">
        <v>0</v>
      </c>
      <c r="K259" s="158" t="s">
        <v>1148</v>
      </c>
      <c r="L259" s="158"/>
      <c r="M259" s="158"/>
      <c r="N259" s="159" t="s">
        <v>276</v>
      </c>
      <c r="O259" s="160" t="s">
        <v>282</v>
      </c>
      <c r="P259" s="156" t="s">
        <v>355</v>
      </c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56"/>
      <c r="AE259" s="156"/>
      <c r="AF259" s="156"/>
      <c r="AG259" s="156"/>
      <c r="AH259" s="156"/>
      <c r="AI259" s="156"/>
      <c r="AJ259" s="156"/>
      <c r="AK259" s="156"/>
      <c r="AL259" s="156"/>
      <c r="AM259" s="156"/>
      <c r="AN259" s="408"/>
    </row>
    <row r="260" spans="1:40" ht="10.9" customHeight="1">
      <c r="A260" s="433" t="s">
        <v>973</v>
      </c>
      <c r="B260" s="423" t="s">
        <v>79</v>
      </c>
      <c r="C260" s="135">
        <v>6000</v>
      </c>
      <c r="D260" s="164">
        <v>1500</v>
      </c>
      <c r="E260" s="165">
        <v>15</v>
      </c>
      <c r="F260" s="135">
        <v>30</v>
      </c>
      <c r="G260" s="134">
        <v>7</v>
      </c>
      <c r="H260" s="135">
        <v>150</v>
      </c>
      <c r="I260" s="134">
        <v>150</v>
      </c>
      <c r="J260" s="133">
        <v>1</v>
      </c>
      <c r="K260" s="134" t="s">
        <v>1149</v>
      </c>
      <c r="L260" s="134"/>
      <c r="M260" s="134"/>
      <c r="N260" s="135" t="s">
        <v>275</v>
      </c>
      <c r="O260" s="136" t="s">
        <v>281</v>
      </c>
      <c r="P260" s="132" t="s">
        <v>343</v>
      </c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  <c r="AH260" s="132"/>
      <c r="AI260" s="132"/>
      <c r="AJ260" s="132"/>
      <c r="AK260" s="132"/>
      <c r="AL260" s="132"/>
      <c r="AM260" s="132"/>
      <c r="AN260" s="402"/>
    </row>
    <row r="261" spans="1:40" ht="10.9" customHeight="1">
      <c r="A261" s="433" t="s">
        <v>1263</v>
      </c>
      <c r="B261" s="424" t="s">
        <v>955</v>
      </c>
      <c r="C261" s="137">
        <v>10000</v>
      </c>
      <c r="D261" s="138">
        <v>5000</v>
      </c>
      <c r="E261" s="139">
        <v>20</v>
      </c>
      <c r="F261" s="137">
        <v>30</v>
      </c>
      <c r="G261" s="140">
        <v>7</v>
      </c>
      <c r="H261" s="137">
        <v>150</v>
      </c>
      <c r="I261" s="140">
        <v>100</v>
      </c>
      <c r="J261" s="141">
        <v>1</v>
      </c>
      <c r="K261" s="140" t="s">
        <v>1150</v>
      </c>
      <c r="L261" s="140"/>
      <c r="M261" s="140"/>
      <c r="N261" s="137" t="s">
        <v>281</v>
      </c>
      <c r="O261" s="142" t="s">
        <v>282</v>
      </c>
      <c r="P261" s="140" t="s">
        <v>285</v>
      </c>
      <c r="Q261" s="140" t="s">
        <v>278</v>
      </c>
      <c r="R261" s="140" t="s">
        <v>292</v>
      </c>
      <c r="S261" s="140" t="s">
        <v>297</v>
      </c>
      <c r="T261" s="140" t="s">
        <v>280</v>
      </c>
      <c r="U261" s="140" t="s">
        <v>286</v>
      </c>
      <c r="V261" s="140" t="s">
        <v>343</v>
      </c>
      <c r="W261" s="140" t="s">
        <v>355</v>
      </c>
      <c r="X261" s="140" t="s">
        <v>351</v>
      </c>
      <c r="Y261" s="140" t="s">
        <v>333</v>
      </c>
      <c r="Z261" s="140" t="s">
        <v>305</v>
      </c>
      <c r="AA261" s="140" t="s">
        <v>335</v>
      </c>
      <c r="AB261" s="140" t="s">
        <v>346</v>
      </c>
      <c r="AC261" s="140" t="s">
        <v>349</v>
      </c>
      <c r="AD261" s="140" t="s">
        <v>339</v>
      </c>
      <c r="AE261" s="140" t="s">
        <v>315</v>
      </c>
      <c r="AF261" s="140"/>
      <c r="AG261" s="140"/>
      <c r="AH261" s="140"/>
      <c r="AI261" s="140"/>
      <c r="AJ261" s="140"/>
      <c r="AK261" s="140"/>
      <c r="AL261" s="140"/>
      <c r="AM261" s="140"/>
      <c r="AN261" s="403"/>
    </row>
    <row r="262" spans="1:40" ht="10.9" customHeight="1">
      <c r="A262" s="432" t="s">
        <v>1151</v>
      </c>
      <c r="B262" s="426" t="s">
        <v>1152</v>
      </c>
      <c r="C262" s="147">
        <v>100000</v>
      </c>
      <c r="D262" s="148">
        <v>10000</v>
      </c>
      <c r="E262" s="149">
        <v>40</v>
      </c>
      <c r="F262" s="147">
        <v>30</v>
      </c>
      <c r="G262" s="150">
        <v>15</v>
      </c>
      <c r="H262" s="147">
        <v>150</v>
      </c>
      <c r="I262" s="150">
        <v>100</v>
      </c>
      <c r="J262" s="151">
        <v>2.5</v>
      </c>
      <c r="K262" s="150" t="s">
        <v>1153</v>
      </c>
      <c r="L262" s="150"/>
      <c r="M262" s="150"/>
      <c r="N262" s="147" t="s">
        <v>279</v>
      </c>
      <c r="O262" s="152" t="s">
        <v>287</v>
      </c>
      <c r="P262" s="150" t="s">
        <v>299</v>
      </c>
      <c r="Q262" s="150" t="s">
        <v>278</v>
      </c>
      <c r="R262" s="150" t="s">
        <v>292</v>
      </c>
      <c r="S262" s="150" t="s">
        <v>283</v>
      </c>
      <c r="T262" s="150" t="s">
        <v>293</v>
      </c>
      <c r="U262" s="150" t="s">
        <v>303</v>
      </c>
      <c r="V262" s="150" t="s">
        <v>593</v>
      </c>
      <c r="W262" s="150" t="s">
        <v>332</v>
      </c>
      <c r="X262" s="150" t="s">
        <v>347</v>
      </c>
      <c r="Y262" s="150" t="s">
        <v>319</v>
      </c>
      <c r="Z262" s="150" t="s">
        <v>334</v>
      </c>
      <c r="AA262" s="150" t="s">
        <v>586</v>
      </c>
      <c r="AB262" s="150" t="s">
        <v>338</v>
      </c>
      <c r="AC262" s="150" t="s">
        <v>318</v>
      </c>
      <c r="AD262" s="150"/>
      <c r="AE262" s="150"/>
      <c r="AF262" s="150"/>
      <c r="AG262" s="150"/>
      <c r="AH262" s="150"/>
      <c r="AI262" s="150"/>
      <c r="AJ262" s="150"/>
      <c r="AK262" s="150"/>
      <c r="AL262" s="150"/>
      <c r="AM262" s="150"/>
      <c r="AN262" s="407"/>
    </row>
    <row r="263" spans="1:40" ht="10.9" customHeight="1">
      <c r="A263" s="433" t="s">
        <v>1263</v>
      </c>
      <c r="B263" s="427" t="s">
        <v>958</v>
      </c>
      <c r="C263" s="159">
        <v>10000</v>
      </c>
      <c r="D263" s="166">
        <v>1000</v>
      </c>
      <c r="E263" s="167">
        <v>15</v>
      </c>
      <c r="F263" s="159">
        <v>60</v>
      </c>
      <c r="G263" s="158">
        <v>5</v>
      </c>
      <c r="H263" s="159">
        <v>100</v>
      </c>
      <c r="I263" s="158">
        <v>150</v>
      </c>
      <c r="J263" s="157">
        <v>1</v>
      </c>
      <c r="K263" s="158" t="s">
        <v>1154</v>
      </c>
      <c r="L263" s="158"/>
      <c r="M263" s="158"/>
      <c r="N263" s="159" t="s">
        <v>275</v>
      </c>
      <c r="O263" s="160" t="s">
        <v>310</v>
      </c>
      <c r="P263" s="156" t="s">
        <v>344</v>
      </c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56"/>
      <c r="AE263" s="156"/>
      <c r="AF263" s="156"/>
      <c r="AG263" s="156"/>
      <c r="AH263" s="156"/>
      <c r="AI263" s="156"/>
      <c r="AJ263" s="156"/>
      <c r="AK263" s="156"/>
      <c r="AL263" s="156"/>
      <c r="AM263" s="156"/>
      <c r="AN263" s="408"/>
    </row>
    <row r="264" spans="1:40" ht="10.9" customHeight="1">
      <c r="A264" s="433" t="s">
        <v>1155</v>
      </c>
      <c r="B264" s="437" t="s">
        <v>961</v>
      </c>
      <c r="C264" s="128">
        <v>500</v>
      </c>
      <c r="D264" s="161" t="s">
        <v>25</v>
      </c>
      <c r="E264" s="162">
        <v>20</v>
      </c>
      <c r="F264" s="128">
        <v>15</v>
      </c>
      <c r="G264" s="163">
        <v>0</v>
      </c>
      <c r="H264" s="128">
        <v>150</v>
      </c>
      <c r="I264" s="163">
        <v>150</v>
      </c>
      <c r="J264" s="399">
        <v>2.5</v>
      </c>
      <c r="K264" s="163" t="s">
        <v>1156</v>
      </c>
      <c r="L264" s="163"/>
      <c r="M264" s="163"/>
      <c r="N264" s="128" t="s">
        <v>25</v>
      </c>
      <c r="O264" s="400"/>
      <c r="P264" s="127"/>
      <c r="Q264" s="127"/>
      <c r="R264" s="127"/>
      <c r="S264" s="127"/>
      <c r="T264" s="127"/>
      <c r="U264" s="127"/>
      <c r="V264" s="127"/>
      <c r="W264" s="127"/>
      <c r="X264" s="127"/>
      <c r="Y264" s="127"/>
      <c r="Z264" s="127"/>
      <c r="AA264" s="127"/>
      <c r="AB264" s="127"/>
      <c r="AC264" s="127"/>
      <c r="AD264" s="127"/>
      <c r="AE264" s="127"/>
      <c r="AF264" s="127"/>
      <c r="AG264" s="127"/>
      <c r="AH264" s="127"/>
      <c r="AI264" s="127"/>
      <c r="AJ264" s="127"/>
      <c r="AK264" s="127"/>
      <c r="AL264" s="127"/>
      <c r="AM264" s="127"/>
      <c r="AN264" s="401"/>
    </row>
    <row r="265" spans="1:40" ht="10.9" customHeight="1">
      <c r="A265" s="433" t="s">
        <v>1263</v>
      </c>
      <c r="B265" s="438" t="s">
        <v>964</v>
      </c>
      <c r="C265" s="135">
        <v>1000</v>
      </c>
      <c r="D265" s="164" t="s">
        <v>25</v>
      </c>
      <c r="E265" s="165">
        <v>20</v>
      </c>
      <c r="F265" s="135">
        <v>30</v>
      </c>
      <c r="G265" s="134">
        <v>0</v>
      </c>
      <c r="H265" s="135">
        <v>150</v>
      </c>
      <c r="I265" s="134">
        <v>150</v>
      </c>
      <c r="J265" s="133">
        <v>1.5</v>
      </c>
      <c r="K265" s="134" t="s">
        <v>1157</v>
      </c>
      <c r="L265" s="134"/>
      <c r="M265" s="134"/>
      <c r="N265" s="135" t="s">
        <v>25</v>
      </c>
      <c r="O265" s="136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32"/>
      <c r="AI265" s="132"/>
      <c r="AJ265" s="132"/>
      <c r="AK265" s="132"/>
      <c r="AL265" s="132"/>
      <c r="AM265" s="132"/>
      <c r="AN265" s="402"/>
    </row>
    <row r="266" spans="1:40" ht="10.9" customHeight="1">
      <c r="A266" s="432" t="s">
        <v>641</v>
      </c>
      <c r="B266" s="424" t="s">
        <v>1158</v>
      </c>
      <c r="C266" s="137">
        <v>120000</v>
      </c>
      <c r="D266" s="138">
        <v>2500</v>
      </c>
      <c r="E266" s="139">
        <v>35</v>
      </c>
      <c r="F266" s="137">
        <v>60</v>
      </c>
      <c r="G266" s="140">
        <v>15</v>
      </c>
      <c r="H266" s="137">
        <v>100</v>
      </c>
      <c r="I266" s="140">
        <v>150</v>
      </c>
      <c r="J266" s="141">
        <v>1</v>
      </c>
      <c r="K266" s="140" t="s">
        <v>1159</v>
      </c>
      <c r="L266" s="140" t="s">
        <v>354</v>
      </c>
      <c r="M266" s="140"/>
      <c r="N266" s="137" t="s">
        <v>279</v>
      </c>
      <c r="O266" s="142" t="s">
        <v>344</v>
      </c>
      <c r="P266" s="140" t="s">
        <v>587</v>
      </c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40"/>
      <c r="AF266" s="140"/>
      <c r="AG266" s="140"/>
      <c r="AH266" s="140"/>
      <c r="AI266" s="140"/>
      <c r="AJ266" s="140"/>
      <c r="AK266" s="140"/>
      <c r="AL266" s="140"/>
      <c r="AM266" s="140"/>
      <c r="AN266" s="403"/>
    </row>
    <row r="267" spans="1:40" ht="10.9" customHeight="1">
      <c r="A267" s="433" t="s">
        <v>1263</v>
      </c>
      <c r="B267" s="440" t="s">
        <v>1160</v>
      </c>
      <c r="C267" s="143">
        <v>5000</v>
      </c>
      <c r="D267" s="144" t="s">
        <v>25</v>
      </c>
      <c r="E267" s="145">
        <v>40</v>
      </c>
      <c r="F267" s="143">
        <v>15</v>
      </c>
      <c r="G267" s="146">
        <v>0</v>
      </c>
      <c r="H267" s="143">
        <v>150</v>
      </c>
      <c r="I267" s="146">
        <v>150</v>
      </c>
      <c r="J267" s="404">
        <v>2.5</v>
      </c>
      <c r="K267" s="146" t="s">
        <v>1161</v>
      </c>
      <c r="L267" s="146"/>
      <c r="M267" s="146"/>
      <c r="N267" s="143" t="s">
        <v>25</v>
      </c>
      <c r="O267" s="405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  <c r="AH267" s="146"/>
      <c r="AI267" s="146"/>
      <c r="AJ267" s="146"/>
      <c r="AK267" s="146"/>
      <c r="AL267" s="146"/>
      <c r="AM267" s="146"/>
      <c r="AN267" s="406"/>
    </row>
    <row r="268" spans="1:40" ht="10.9" customHeight="1">
      <c r="A268" s="433" t="s">
        <v>962</v>
      </c>
      <c r="B268" s="441" t="s">
        <v>1162</v>
      </c>
      <c r="C268" s="147">
        <v>10000</v>
      </c>
      <c r="D268" s="148" t="s">
        <v>25</v>
      </c>
      <c r="E268" s="149">
        <v>40</v>
      </c>
      <c r="F268" s="147">
        <v>30</v>
      </c>
      <c r="G268" s="150">
        <v>0</v>
      </c>
      <c r="H268" s="147">
        <v>150</v>
      </c>
      <c r="I268" s="150">
        <v>150</v>
      </c>
      <c r="J268" s="151">
        <v>1.5</v>
      </c>
      <c r="K268" s="150" t="s">
        <v>1163</v>
      </c>
      <c r="L268" s="150"/>
      <c r="M268" s="150"/>
      <c r="N268" s="147" t="s">
        <v>25</v>
      </c>
      <c r="O268" s="152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  <c r="AH268" s="150"/>
      <c r="AI268" s="150"/>
      <c r="AJ268" s="150"/>
      <c r="AK268" s="150"/>
      <c r="AL268" s="150"/>
      <c r="AM268" s="150"/>
      <c r="AN268" s="407"/>
    </row>
    <row r="269" spans="1:40" ht="10.9" customHeight="1">
      <c r="A269" s="433" t="s">
        <v>650</v>
      </c>
      <c r="B269" s="429" t="s">
        <v>967</v>
      </c>
      <c r="C269" s="181">
        <v>5000</v>
      </c>
      <c r="D269" s="183">
        <v>1000</v>
      </c>
      <c r="E269" s="184">
        <v>20</v>
      </c>
      <c r="F269" s="181">
        <v>30</v>
      </c>
      <c r="G269" s="180">
        <v>7</v>
      </c>
      <c r="H269" s="181">
        <v>150</v>
      </c>
      <c r="I269" s="180">
        <v>150</v>
      </c>
      <c r="J269" s="179">
        <v>1.5</v>
      </c>
      <c r="K269" s="180" t="s">
        <v>1164</v>
      </c>
      <c r="L269" s="180"/>
      <c r="M269" s="180"/>
      <c r="N269" s="181" t="s">
        <v>351</v>
      </c>
      <c r="O269" s="182" t="s">
        <v>347</v>
      </c>
      <c r="P269" s="178" t="s">
        <v>350</v>
      </c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178"/>
      <c r="AJ269" s="178"/>
      <c r="AK269" s="178"/>
      <c r="AL269" s="178"/>
      <c r="AM269" s="178"/>
      <c r="AN269" s="410"/>
    </row>
    <row r="270" spans="1:40" ht="10.9" customHeight="1">
      <c r="A270" s="433" t="s">
        <v>1019</v>
      </c>
      <c r="B270" s="428" t="s">
        <v>1165</v>
      </c>
      <c r="C270" s="168">
        <v>10000</v>
      </c>
      <c r="D270" s="169">
        <v>2500</v>
      </c>
      <c r="E270" s="170">
        <v>25</v>
      </c>
      <c r="F270" s="168">
        <v>0</v>
      </c>
      <c r="G270" s="171">
        <v>15</v>
      </c>
      <c r="H270" s="168">
        <v>100</v>
      </c>
      <c r="I270" s="171">
        <v>150</v>
      </c>
      <c r="J270" s="172">
        <v>0</v>
      </c>
      <c r="K270" s="171" t="s">
        <v>1166</v>
      </c>
      <c r="L270" s="171"/>
      <c r="M270" s="171"/>
      <c r="N270" s="168" t="s">
        <v>281</v>
      </c>
      <c r="O270" s="173" t="s">
        <v>310</v>
      </c>
      <c r="P270" s="171" t="s">
        <v>343</v>
      </c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409"/>
    </row>
    <row r="271" spans="1:40" ht="10.9" customHeight="1">
      <c r="A271" s="433" t="s">
        <v>1104</v>
      </c>
      <c r="B271" s="427" t="s">
        <v>1054</v>
      </c>
      <c r="C271" s="159">
        <v>10000</v>
      </c>
      <c r="D271" s="166" t="s">
        <v>25</v>
      </c>
      <c r="E271" s="167">
        <v>20</v>
      </c>
      <c r="F271" s="159" t="s">
        <v>25</v>
      </c>
      <c r="G271" s="158">
        <v>7</v>
      </c>
      <c r="H271" s="159">
        <v>150</v>
      </c>
      <c r="I271" s="158">
        <v>150</v>
      </c>
      <c r="J271" s="157"/>
      <c r="K271" s="158"/>
      <c r="L271" s="158"/>
      <c r="M271" s="158"/>
      <c r="N271" s="159" t="s">
        <v>351</v>
      </c>
      <c r="O271" s="160" t="s">
        <v>347</v>
      </c>
      <c r="P271" s="156" t="s">
        <v>340</v>
      </c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56"/>
      <c r="AE271" s="156"/>
      <c r="AF271" s="156"/>
      <c r="AG271" s="156"/>
      <c r="AH271" s="156"/>
      <c r="AI271" s="156"/>
      <c r="AJ271" s="156"/>
      <c r="AK271" s="156"/>
      <c r="AL271" s="156"/>
      <c r="AM271" s="156"/>
      <c r="AN271" s="408"/>
    </row>
    <row r="272" spans="1:40" ht="10.9" customHeight="1">
      <c r="A272" s="433" t="s">
        <v>1167</v>
      </c>
      <c r="B272" s="437" t="s">
        <v>1057</v>
      </c>
      <c r="C272" s="128">
        <v>2500</v>
      </c>
      <c r="D272" s="161" t="s">
        <v>25</v>
      </c>
      <c r="E272" s="162">
        <v>20</v>
      </c>
      <c r="F272" s="128" t="s">
        <v>25</v>
      </c>
      <c r="G272" s="163">
        <v>15</v>
      </c>
      <c r="H272" s="128">
        <v>150</v>
      </c>
      <c r="I272" s="163">
        <v>150</v>
      </c>
      <c r="J272" s="399"/>
      <c r="K272" s="163"/>
      <c r="L272" s="163"/>
      <c r="M272" s="163"/>
      <c r="N272" s="128" t="s">
        <v>596</v>
      </c>
      <c r="O272" s="400"/>
      <c r="P272" s="127"/>
      <c r="Q272" s="127"/>
      <c r="R272" s="127"/>
      <c r="S272" s="127"/>
      <c r="T272" s="127"/>
      <c r="U272" s="127"/>
      <c r="V272" s="127"/>
      <c r="W272" s="127"/>
      <c r="X272" s="127"/>
      <c r="Y272" s="127"/>
      <c r="Z272" s="127"/>
      <c r="AA272" s="127"/>
      <c r="AB272" s="127"/>
      <c r="AC272" s="127"/>
      <c r="AD272" s="127"/>
      <c r="AE272" s="127"/>
      <c r="AF272" s="127"/>
      <c r="AG272" s="127"/>
      <c r="AH272" s="127"/>
      <c r="AI272" s="127"/>
      <c r="AJ272" s="127"/>
      <c r="AK272" s="127"/>
      <c r="AL272" s="127"/>
      <c r="AM272" s="127"/>
      <c r="AN272" s="401"/>
    </row>
    <row r="273" spans="1:40" ht="10.9" customHeight="1">
      <c r="A273" s="433" t="s">
        <v>1168</v>
      </c>
      <c r="B273" s="438" t="s">
        <v>1059</v>
      </c>
      <c r="C273" s="135">
        <v>2500</v>
      </c>
      <c r="D273" s="164" t="s">
        <v>25</v>
      </c>
      <c r="E273" s="165">
        <v>20</v>
      </c>
      <c r="F273" s="135" t="s">
        <v>25</v>
      </c>
      <c r="G273" s="134">
        <v>0</v>
      </c>
      <c r="H273" s="135">
        <v>150</v>
      </c>
      <c r="I273" s="134">
        <v>150</v>
      </c>
      <c r="J273" s="133"/>
      <c r="K273" s="134"/>
      <c r="L273" s="134"/>
      <c r="M273" s="134"/>
      <c r="N273" s="135" t="s">
        <v>589</v>
      </c>
      <c r="O273" s="136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  <c r="AH273" s="132"/>
      <c r="AI273" s="132"/>
      <c r="AJ273" s="132"/>
      <c r="AK273" s="132"/>
      <c r="AL273" s="132"/>
      <c r="AM273" s="132"/>
      <c r="AN273" s="402"/>
    </row>
    <row r="274" spans="1:40" ht="10.9" customHeight="1">
      <c r="A274" s="433" t="s">
        <v>1169</v>
      </c>
      <c r="B274" s="424" t="s">
        <v>1080</v>
      </c>
      <c r="C274" s="137">
        <v>60000</v>
      </c>
      <c r="D274" s="138">
        <v>10000</v>
      </c>
      <c r="E274" s="139">
        <v>20</v>
      </c>
      <c r="F274" s="137">
        <v>30</v>
      </c>
      <c r="G274" s="140">
        <v>7</v>
      </c>
      <c r="H274" s="137">
        <v>150</v>
      </c>
      <c r="I274" s="140">
        <v>150</v>
      </c>
      <c r="J274" s="141">
        <v>2.5</v>
      </c>
      <c r="K274" s="140" t="s">
        <v>1170</v>
      </c>
      <c r="L274" s="140"/>
      <c r="M274" s="140"/>
      <c r="N274" s="137" t="s">
        <v>283</v>
      </c>
      <c r="O274" s="142" t="s">
        <v>294</v>
      </c>
      <c r="P274" s="140" t="s">
        <v>297</v>
      </c>
      <c r="Q274" s="140" t="s">
        <v>277</v>
      </c>
      <c r="R274" s="140" t="s">
        <v>350</v>
      </c>
      <c r="S274" s="140" t="s">
        <v>352</v>
      </c>
      <c r="T274" s="140" t="s">
        <v>317</v>
      </c>
      <c r="U274" s="140" t="s">
        <v>586</v>
      </c>
      <c r="V274" s="140" t="s">
        <v>588</v>
      </c>
      <c r="W274" s="140" t="s">
        <v>591</v>
      </c>
      <c r="X274" s="140" t="s">
        <v>584</v>
      </c>
      <c r="Y274" s="140"/>
      <c r="Z274" s="140"/>
      <c r="AA274" s="140"/>
      <c r="AB274" s="140"/>
      <c r="AC274" s="140"/>
      <c r="AD274" s="140"/>
      <c r="AE274" s="140"/>
      <c r="AF274" s="140"/>
      <c r="AG274" s="140"/>
      <c r="AH274" s="140"/>
      <c r="AI274" s="140"/>
      <c r="AJ274" s="140"/>
      <c r="AK274" s="140"/>
      <c r="AL274" s="140"/>
      <c r="AM274" s="140"/>
      <c r="AN274" s="403"/>
    </row>
    <row r="275" spans="1:40" ht="10.9" customHeight="1">
      <c r="A275" s="433" t="s">
        <v>1171</v>
      </c>
      <c r="B275" s="426" t="s">
        <v>1172</v>
      </c>
      <c r="C275" s="147">
        <v>120000</v>
      </c>
      <c r="D275" s="148">
        <v>10000</v>
      </c>
      <c r="E275" s="149">
        <v>40</v>
      </c>
      <c r="F275" s="147">
        <v>30</v>
      </c>
      <c r="G275" s="150">
        <v>7</v>
      </c>
      <c r="H275" s="147">
        <v>150</v>
      </c>
      <c r="I275" s="150">
        <v>150</v>
      </c>
      <c r="J275" s="151">
        <v>2.5</v>
      </c>
      <c r="K275" s="150" t="s">
        <v>1170</v>
      </c>
      <c r="L275" s="150"/>
      <c r="M275" s="150"/>
      <c r="N275" s="147" t="s">
        <v>283</v>
      </c>
      <c r="O275" s="152" t="s">
        <v>294</v>
      </c>
      <c r="P275" s="150" t="s">
        <v>297</v>
      </c>
      <c r="Q275" s="150" t="s">
        <v>277</v>
      </c>
      <c r="R275" s="150" t="s">
        <v>350</v>
      </c>
      <c r="S275" s="150" t="s">
        <v>352</v>
      </c>
      <c r="T275" s="150" t="s">
        <v>317</v>
      </c>
      <c r="U275" s="150" t="s">
        <v>586</v>
      </c>
      <c r="V275" s="150" t="s">
        <v>588</v>
      </c>
      <c r="W275" s="150" t="s">
        <v>591</v>
      </c>
      <c r="X275" s="150" t="s">
        <v>584</v>
      </c>
      <c r="Y275" s="150" t="s">
        <v>592</v>
      </c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407"/>
    </row>
    <row r="276" spans="1:40" ht="10.9" customHeight="1">
      <c r="A276" s="433" t="s">
        <v>1263</v>
      </c>
      <c r="B276" s="427" t="s">
        <v>1167</v>
      </c>
      <c r="C276" s="159">
        <v>5000</v>
      </c>
      <c r="D276" s="166">
        <v>500</v>
      </c>
      <c r="E276" s="167">
        <v>25</v>
      </c>
      <c r="F276" s="159">
        <v>30</v>
      </c>
      <c r="G276" s="158">
        <v>10</v>
      </c>
      <c r="H276" s="159">
        <v>100</v>
      </c>
      <c r="I276" s="158">
        <v>100</v>
      </c>
      <c r="J276" s="157">
        <v>0</v>
      </c>
      <c r="K276" s="158" t="s">
        <v>1173</v>
      </c>
      <c r="L276" s="158" t="s">
        <v>358</v>
      </c>
      <c r="M276" s="158"/>
      <c r="N276" s="159" t="s">
        <v>280</v>
      </c>
      <c r="O276" s="160" t="s">
        <v>286</v>
      </c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156"/>
      <c r="AC276" s="156"/>
      <c r="AD276" s="156"/>
      <c r="AE276" s="156"/>
      <c r="AF276" s="156"/>
      <c r="AG276" s="156"/>
      <c r="AH276" s="156"/>
      <c r="AI276" s="156"/>
      <c r="AJ276" s="156"/>
      <c r="AK276" s="156"/>
      <c r="AL276" s="156"/>
      <c r="AM276" s="156"/>
      <c r="AN276" s="408"/>
    </row>
    <row r="277" spans="1:40" ht="10.9" customHeight="1">
      <c r="A277" s="432" t="s">
        <v>1174</v>
      </c>
      <c r="B277" s="422" t="s">
        <v>1168</v>
      </c>
      <c r="C277" s="128">
        <v>5000</v>
      </c>
      <c r="D277" s="161">
        <v>500</v>
      </c>
      <c r="E277" s="162">
        <v>25</v>
      </c>
      <c r="F277" s="128">
        <v>30</v>
      </c>
      <c r="G277" s="163">
        <v>10</v>
      </c>
      <c r="H277" s="128">
        <v>100</v>
      </c>
      <c r="I277" s="163">
        <v>100</v>
      </c>
      <c r="J277" s="399">
        <v>0</v>
      </c>
      <c r="K277" s="163" t="s">
        <v>1173</v>
      </c>
      <c r="L277" s="163" t="s">
        <v>358</v>
      </c>
      <c r="M277" s="163"/>
      <c r="N277" s="128" t="s">
        <v>276</v>
      </c>
      <c r="O277" s="400" t="s">
        <v>282</v>
      </c>
      <c r="P277" s="127"/>
      <c r="Q277" s="127"/>
      <c r="R277" s="127"/>
      <c r="S277" s="127"/>
      <c r="T277" s="127"/>
      <c r="U277" s="127"/>
      <c r="V277" s="127"/>
      <c r="W277" s="127"/>
      <c r="X277" s="127"/>
      <c r="Y277" s="127"/>
      <c r="Z277" s="127"/>
      <c r="AA277" s="127"/>
      <c r="AB277" s="127"/>
      <c r="AC277" s="127"/>
      <c r="AD277" s="127"/>
      <c r="AE277" s="127"/>
      <c r="AF277" s="127"/>
      <c r="AG277" s="127"/>
      <c r="AH277" s="127"/>
      <c r="AI277" s="127"/>
      <c r="AJ277" s="127"/>
      <c r="AK277" s="127"/>
      <c r="AL277" s="127"/>
      <c r="AM277" s="127"/>
      <c r="AN277" s="401"/>
    </row>
    <row r="278" spans="1:40" ht="10.9" customHeight="1">
      <c r="A278" s="433" t="s">
        <v>1263</v>
      </c>
      <c r="B278" s="422" t="s">
        <v>1169</v>
      </c>
      <c r="C278" s="128">
        <v>5000</v>
      </c>
      <c r="D278" s="161">
        <v>500</v>
      </c>
      <c r="E278" s="162">
        <v>25</v>
      </c>
      <c r="F278" s="128">
        <v>30</v>
      </c>
      <c r="G278" s="163">
        <v>10</v>
      </c>
      <c r="H278" s="128" t="s">
        <v>622</v>
      </c>
      <c r="I278" s="163">
        <v>100</v>
      </c>
      <c r="J278" s="399">
        <v>0</v>
      </c>
      <c r="K278" s="163" t="s">
        <v>1173</v>
      </c>
      <c r="L278" s="163" t="s">
        <v>358</v>
      </c>
      <c r="M278" s="163"/>
      <c r="N278" s="128" t="s">
        <v>295</v>
      </c>
      <c r="O278" s="400" t="s">
        <v>285</v>
      </c>
      <c r="P278" s="127"/>
      <c r="Q278" s="127"/>
      <c r="R278" s="127"/>
      <c r="S278" s="127"/>
      <c r="T278" s="127"/>
      <c r="U278" s="127"/>
      <c r="V278" s="127"/>
      <c r="W278" s="127"/>
      <c r="X278" s="127"/>
      <c r="Y278" s="127"/>
      <c r="Z278" s="127"/>
      <c r="AA278" s="127"/>
      <c r="AB278" s="127"/>
      <c r="AC278" s="127"/>
      <c r="AD278" s="127"/>
      <c r="AE278" s="127"/>
      <c r="AF278" s="127"/>
      <c r="AG278" s="127"/>
      <c r="AH278" s="127"/>
      <c r="AI278" s="127"/>
      <c r="AJ278" s="127"/>
      <c r="AK278" s="127"/>
      <c r="AL278" s="127"/>
      <c r="AM278" s="127"/>
      <c r="AN278" s="401"/>
    </row>
    <row r="279" spans="1:40" ht="10.9" customHeight="1">
      <c r="A279" s="433" t="s">
        <v>723</v>
      </c>
      <c r="B279" s="423" t="s">
        <v>1171</v>
      </c>
      <c r="C279" s="135">
        <v>5000</v>
      </c>
      <c r="D279" s="164">
        <v>500</v>
      </c>
      <c r="E279" s="165">
        <v>25</v>
      </c>
      <c r="F279" s="135">
        <v>30</v>
      </c>
      <c r="G279" s="134">
        <v>10</v>
      </c>
      <c r="H279" s="135">
        <v>100</v>
      </c>
      <c r="I279" s="134" t="s">
        <v>623</v>
      </c>
      <c r="J279" s="133">
        <v>0</v>
      </c>
      <c r="K279" s="134" t="s">
        <v>1173</v>
      </c>
      <c r="L279" s="134" t="s">
        <v>358</v>
      </c>
      <c r="M279" s="134"/>
      <c r="N279" s="135" t="s">
        <v>275</v>
      </c>
      <c r="O279" s="136" t="s">
        <v>281</v>
      </c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  <c r="AH279" s="132"/>
      <c r="AI279" s="132"/>
      <c r="AJ279" s="132"/>
      <c r="AK279" s="132"/>
      <c r="AL279" s="132"/>
      <c r="AM279" s="132"/>
      <c r="AN279" s="402"/>
    </row>
    <row r="280" spans="1:40" ht="10.9" customHeight="1">
      <c r="A280" s="433" t="s">
        <v>751</v>
      </c>
      <c r="B280" s="424" t="s">
        <v>1175</v>
      </c>
      <c r="C280" s="137">
        <v>60000</v>
      </c>
      <c r="D280" s="138">
        <v>5000</v>
      </c>
      <c r="E280" s="139">
        <v>30</v>
      </c>
      <c r="F280" s="137">
        <v>60</v>
      </c>
      <c r="G280" s="140">
        <v>5</v>
      </c>
      <c r="H280" s="137">
        <v>100</v>
      </c>
      <c r="I280" s="140">
        <v>100</v>
      </c>
      <c r="J280" s="141">
        <v>1.5</v>
      </c>
      <c r="K280" s="140" t="s">
        <v>1176</v>
      </c>
      <c r="L280" s="140"/>
      <c r="M280" s="140"/>
      <c r="N280" s="137" t="s">
        <v>299</v>
      </c>
      <c r="O280" s="142" t="s">
        <v>593</v>
      </c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40"/>
      <c r="AF280" s="140"/>
      <c r="AG280" s="140"/>
      <c r="AH280" s="140"/>
      <c r="AI280" s="140"/>
      <c r="AJ280" s="140"/>
      <c r="AK280" s="140"/>
      <c r="AL280" s="140"/>
      <c r="AM280" s="140"/>
      <c r="AN280" s="403"/>
    </row>
    <row r="281" spans="1:40" ht="10.9" customHeight="1">
      <c r="A281" s="433" t="s">
        <v>794</v>
      </c>
      <c r="B281" s="426" t="s">
        <v>1177</v>
      </c>
      <c r="C281" s="147">
        <v>20000</v>
      </c>
      <c r="D281" s="148">
        <v>1000</v>
      </c>
      <c r="E281" s="149">
        <v>40</v>
      </c>
      <c r="F281" s="147">
        <v>60</v>
      </c>
      <c r="G281" s="150">
        <v>10</v>
      </c>
      <c r="H281" s="147">
        <v>100</v>
      </c>
      <c r="I281" s="150">
        <v>100</v>
      </c>
      <c r="J281" s="151">
        <v>1.5</v>
      </c>
      <c r="K281" s="150" t="s">
        <v>1178</v>
      </c>
      <c r="L281" s="150"/>
      <c r="M281" s="150"/>
      <c r="N281" s="147" t="s">
        <v>299</v>
      </c>
      <c r="O281" s="152" t="s">
        <v>593</v>
      </c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  <c r="AH281" s="150"/>
      <c r="AI281" s="150"/>
      <c r="AJ281" s="150"/>
      <c r="AK281" s="150"/>
      <c r="AL281" s="150"/>
      <c r="AM281" s="150"/>
      <c r="AN281" s="407"/>
    </row>
    <row r="282" spans="1:40" ht="10.9" customHeight="1">
      <c r="A282" s="433" t="s">
        <v>968</v>
      </c>
      <c r="B282" s="427" t="s">
        <v>1155</v>
      </c>
      <c r="C282" s="159">
        <v>25000</v>
      </c>
      <c r="D282" s="166" t="s">
        <v>25</v>
      </c>
      <c r="E282" s="167">
        <v>25</v>
      </c>
      <c r="F282" s="159">
        <v>60</v>
      </c>
      <c r="G282" s="158">
        <v>7</v>
      </c>
      <c r="H282" s="159">
        <v>150</v>
      </c>
      <c r="I282" s="158">
        <v>100</v>
      </c>
      <c r="J282" s="157">
        <v>1.5</v>
      </c>
      <c r="K282" s="158" t="s">
        <v>1179</v>
      </c>
      <c r="L282" s="158"/>
      <c r="M282" s="158"/>
      <c r="N282" s="159" t="s">
        <v>350</v>
      </c>
      <c r="O282" s="160" t="s">
        <v>709</v>
      </c>
      <c r="P282" s="156" t="s">
        <v>351</v>
      </c>
      <c r="Q282" s="156" t="s">
        <v>347</v>
      </c>
      <c r="R282" s="156" t="s">
        <v>312</v>
      </c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  <c r="AD282" s="156"/>
      <c r="AE282" s="156"/>
      <c r="AF282" s="156"/>
      <c r="AG282" s="156"/>
      <c r="AH282" s="156"/>
      <c r="AI282" s="156"/>
      <c r="AJ282" s="156"/>
      <c r="AK282" s="156"/>
      <c r="AL282" s="156"/>
      <c r="AM282" s="156"/>
      <c r="AN282" s="408"/>
    </row>
    <row r="283" spans="1:40" ht="10.9" customHeight="1">
      <c r="A283" s="433" t="s">
        <v>799</v>
      </c>
      <c r="B283" s="423" t="s">
        <v>1180</v>
      </c>
      <c r="C283" s="135">
        <v>15000</v>
      </c>
      <c r="D283" s="164" t="s">
        <v>25</v>
      </c>
      <c r="E283" s="165">
        <v>40</v>
      </c>
      <c r="F283" s="135">
        <v>60</v>
      </c>
      <c r="G283" s="134">
        <v>15</v>
      </c>
      <c r="H283" s="135">
        <v>150</v>
      </c>
      <c r="I283" s="134">
        <v>100</v>
      </c>
      <c r="J283" s="133">
        <v>1.5</v>
      </c>
      <c r="K283" s="134" t="s">
        <v>1181</v>
      </c>
      <c r="L283" s="134"/>
      <c r="M283" s="134"/>
      <c r="N283" s="135" t="s">
        <v>350</v>
      </c>
      <c r="O283" s="136" t="s">
        <v>709</v>
      </c>
      <c r="P283" s="132" t="s">
        <v>312</v>
      </c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32"/>
      <c r="AI283" s="132"/>
      <c r="AJ283" s="132"/>
      <c r="AK283" s="132"/>
      <c r="AL283" s="132"/>
      <c r="AM283" s="132"/>
      <c r="AN283" s="402"/>
    </row>
    <row r="284" spans="1:40" ht="10.9" customHeight="1">
      <c r="A284" s="433" t="s">
        <v>1133</v>
      </c>
      <c r="B284" s="428" t="s">
        <v>1182</v>
      </c>
      <c r="C284" s="168">
        <v>50000</v>
      </c>
      <c r="D284" s="169">
        <v>5000</v>
      </c>
      <c r="E284" s="170">
        <v>30</v>
      </c>
      <c r="F284" s="168">
        <v>60</v>
      </c>
      <c r="G284" s="171">
        <v>15</v>
      </c>
      <c r="H284" s="168">
        <v>100</v>
      </c>
      <c r="I284" s="171">
        <v>150</v>
      </c>
      <c r="J284" s="172">
        <v>1</v>
      </c>
      <c r="K284" s="171" t="s">
        <v>1183</v>
      </c>
      <c r="L284" s="171"/>
      <c r="M284" s="171"/>
      <c r="N284" s="168" t="s">
        <v>285</v>
      </c>
      <c r="O284" s="173" t="s">
        <v>345</v>
      </c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409"/>
    </row>
    <row r="285" spans="1:40" ht="10.9" customHeight="1">
      <c r="A285" s="433" t="s">
        <v>1175</v>
      </c>
      <c r="B285" s="442" t="s">
        <v>1268</v>
      </c>
      <c r="C285" s="181">
        <v>50000</v>
      </c>
      <c r="D285" s="183">
        <v>5000</v>
      </c>
      <c r="E285" s="184">
        <v>30</v>
      </c>
      <c r="F285" s="181">
        <v>60</v>
      </c>
      <c r="G285" s="180">
        <v>15</v>
      </c>
      <c r="H285" s="181">
        <v>250</v>
      </c>
      <c r="I285" s="180">
        <v>100</v>
      </c>
      <c r="J285" s="179">
        <v>1</v>
      </c>
      <c r="K285" s="180" t="s">
        <v>1184</v>
      </c>
      <c r="L285" s="180"/>
      <c r="M285" s="180"/>
      <c r="N285" s="181" t="s">
        <v>279</v>
      </c>
      <c r="O285" s="182" t="s">
        <v>287</v>
      </c>
      <c r="P285" s="178" t="s">
        <v>299</v>
      </c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  <c r="AN285" s="410"/>
    </row>
    <row r="286" spans="1:40" ht="10.9" customHeight="1">
      <c r="A286" s="433" t="s">
        <v>1263</v>
      </c>
      <c r="B286" s="443" t="s">
        <v>1269</v>
      </c>
      <c r="C286" s="168">
        <v>80000</v>
      </c>
      <c r="D286" s="169" t="s">
        <v>25</v>
      </c>
      <c r="E286" s="170">
        <v>45</v>
      </c>
      <c r="F286" s="168">
        <v>30</v>
      </c>
      <c r="G286" s="171">
        <v>7</v>
      </c>
      <c r="H286" s="168">
        <v>150</v>
      </c>
      <c r="I286" s="171">
        <v>100</v>
      </c>
      <c r="J286" s="172">
        <v>2.5</v>
      </c>
      <c r="K286" s="171" t="s">
        <v>1185</v>
      </c>
      <c r="L286" s="171"/>
      <c r="M286" s="171"/>
      <c r="N286" s="168" t="s">
        <v>309</v>
      </c>
      <c r="O286" s="173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409"/>
    </row>
    <row r="287" spans="1:40" ht="10.9" customHeight="1">
      <c r="A287" s="432" t="s">
        <v>1186</v>
      </c>
      <c r="B287" s="427" t="s">
        <v>1187</v>
      </c>
      <c r="C287" s="159">
        <v>20000</v>
      </c>
      <c r="D287" s="166">
        <v>5000</v>
      </c>
      <c r="E287" s="167">
        <v>30</v>
      </c>
      <c r="F287" s="159">
        <v>15</v>
      </c>
      <c r="G287" s="158">
        <v>30</v>
      </c>
      <c r="H287" s="159">
        <v>100</v>
      </c>
      <c r="I287" s="158">
        <v>150</v>
      </c>
      <c r="J287" s="157"/>
      <c r="K287" s="158"/>
      <c r="L287" s="158"/>
      <c r="M287" s="158"/>
      <c r="N287" s="159" t="s">
        <v>25</v>
      </c>
      <c r="O287" s="160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56"/>
      <c r="AE287" s="156"/>
      <c r="AF287" s="156"/>
      <c r="AG287" s="156"/>
      <c r="AH287" s="156"/>
      <c r="AI287" s="156"/>
      <c r="AJ287" s="156"/>
      <c r="AK287" s="156"/>
      <c r="AL287" s="156"/>
      <c r="AM287" s="156"/>
      <c r="AN287" s="408"/>
    </row>
    <row r="288" spans="1:40" ht="10.9" customHeight="1">
      <c r="A288" s="433" t="s">
        <v>1263</v>
      </c>
      <c r="B288" s="422" t="s">
        <v>1188</v>
      </c>
      <c r="C288" s="128">
        <v>30000</v>
      </c>
      <c r="D288" s="161">
        <v>5000</v>
      </c>
      <c r="E288" s="162">
        <v>30</v>
      </c>
      <c r="F288" s="128">
        <v>15</v>
      </c>
      <c r="G288" s="163">
        <v>15</v>
      </c>
      <c r="H288" s="128">
        <v>100</v>
      </c>
      <c r="I288" s="163">
        <v>150</v>
      </c>
      <c r="J288" s="399"/>
      <c r="K288" s="163"/>
      <c r="L288" s="163"/>
      <c r="M288" s="163"/>
      <c r="N288" s="128" t="s">
        <v>25</v>
      </c>
      <c r="O288" s="400"/>
      <c r="P288" s="127"/>
      <c r="Q288" s="127"/>
      <c r="R288" s="127"/>
      <c r="S288" s="127"/>
      <c r="T288" s="127"/>
      <c r="U288" s="127"/>
      <c r="V288" s="127"/>
      <c r="W288" s="127"/>
      <c r="X288" s="127"/>
      <c r="Y288" s="127"/>
      <c r="Z288" s="127"/>
      <c r="AA288" s="127"/>
      <c r="AB288" s="127"/>
      <c r="AC288" s="127"/>
      <c r="AD288" s="127"/>
      <c r="AE288" s="127"/>
      <c r="AF288" s="127"/>
      <c r="AG288" s="127"/>
      <c r="AH288" s="127"/>
      <c r="AI288" s="127"/>
      <c r="AJ288" s="127"/>
      <c r="AK288" s="127"/>
      <c r="AL288" s="127"/>
      <c r="AM288" s="127"/>
      <c r="AN288" s="401"/>
    </row>
    <row r="289" spans="1:40" ht="10.9" customHeight="1">
      <c r="A289" s="433" t="s">
        <v>644</v>
      </c>
      <c r="B289" s="423" t="s">
        <v>1189</v>
      </c>
      <c r="C289" s="135">
        <v>40000</v>
      </c>
      <c r="D289" s="164">
        <v>5000</v>
      </c>
      <c r="E289" s="165">
        <v>30</v>
      </c>
      <c r="F289" s="135">
        <v>15</v>
      </c>
      <c r="G289" s="134">
        <v>15</v>
      </c>
      <c r="H289" s="135">
        <v>100</v>
      </c>
      <c r="I289" s="134">
        <v>150</v>
      </c>
      <c r="J289" s="133"/>
      <c r="K289" s="134"/>
      <c r="L289" s="134"/>
      <c r="M289" s="134"/>
      <c r="N289" s="135" t="s">
        <v>281</v>
      </c>
      <c r="O289" s="136" t="s">
        <v>282</v>
      </c>
      <c r="P289" s="132" t="s">
        <v>285</v>
      </c>
      <c r="Q289" s="132" t="s">
        <v>279</v>
      </c>
      <c r="R289" s="132" t="s">
        <v>287</v>
      </c>
      <c r="S289" s="132" t="s">
        <v>299</v>
      </c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  <c r="AH289" s="132"/>
      <c r="AI289" s="132"/>
      <c r="AJ289" s="132"/>
      <c r="AK289" s="132"/>
      <c r="AL289" s="132"/>
      <c r="AM289" s="132"/>
      <c r="AN289" s="402"/>
    </row>
    <row r="290" spans="1:40" ht="10.9" customHeight="1">
      <c r="A290" s="433" t="s">
        <v>653</v>
      </c>
      <c r="B290" s="424" t="s">
        <v>1190</v>
      </c>
      <c r="C290" s="137">
        <v>40000</v>
      </c>
      <c r="D290" s="138">
        <v>5000</v>
      </c>
      <c r="E290" s="139">
        <v>40</v>
      </c>
      <c r="F290" s="137">
        <v>30</v>
      </c>
      <c r="G290" s="140">
        <v>7</v>
      </c>
      <c r="H290" s="137">
        <v>100</v>
      </c>
      <c r="I290" s="140">
        <v>150</v>
      </c>
      <c r="J290" s="141">
        <v>1</v>
      </c>
      <c r="K290" s="140" t="s">
        <v>1191</v>
      </c>
      <c r="L290" s="140"/>
      <c r="M290" s="140"/>
      <c r="N290" s="137" t="s">
        <v>293</v>
      </c>
      <c r="O290" s="142" t="s">
        <v>290</v>
      </c>
      <c r="P290" s="140" t="s">
        <v>277</v>
      </c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  <c r="AI290" s="140"/>
      <c r="AJ290" s="140"/>
      <c r="AK290" s="140"/>
      <c r="AL290" s="140"/>
      <c r="AM290" s="140"/>
      <c r="AN290" s="403"/>
    </row>
    <row r="291" spans="1:40" ht="10.9" customHeight="1">
      <c r="A291" s="433" t="s">
        <v>707</v>
      </c>
      <c r="B291" s="426" t="s">
        <v>1192</v>
      </c>
      <c r="C291" s="147">
        <v>40000</v>
      </c>
      <c r="D291" s="148">
        <v>5000</v>
      </c>
      <c r="E291" s="149">
        <v>40</v>
      </c>
      <c r="F291" s="147">
        <v>15</v>
      </c>
      <c r="G291" s="150">
        <v>7</v>
      </c>
      <c r="H291" s="147">
        <v>100</v>
      </c>
      <c r="I291" s="150">
        <v>150</v>
      </c>
      <c r="J291" s="151">
        <v>1</v>
      </c>
      <c r="K291" s="150" t="s">
        <v>1193</v>
      </c>
      <c r="L291" s="150"/>
      <c r="M291" s="150"/>
      <c r="N291" s="147" t="s">
        <v>281</v>
      </c>
      <c r="O291" s="152" t="s">
        <v>279</v>
      </c>
      <c r="P291" s="150" t="s">
        <v>294</v>
      </c>
      <c r="Q291" s="150" t="s">
        <v>588</v>
      </c>
      <c r="R291" s="150" t="s">
        <v>352</v>
      </c>
      <c r="S291" s="150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  <c r="AH291" s="150"/>
      <c r="AI291" s="150"/>
      <c r="AJ291" s="150"/>
      <c r="AK291" s="150"/>
      <c r="AL291" s="150"/>
      <c r="AM291" s="150"/>
      <c r="AN291" s="407"/>
    </row>
    <row r="292" spans="1:40" ht="10.9" customHeight="1">
      <c r="A292" s="433" t="s">
        <v>869</v>
      </c>
      <c r="B292" s="427" t="s">
        <v>1194</v>
      </c>
      <c r="C292" s="159">
        <v>80000</v>
      </c>
      <c r="D292" s="166">
        <v>5000</v>
      </c>
      <c r="E292" s="167">
        <v>35</v>
      </c>
      <c r="F292" s="159">
        <v>30</v>
      </c>
      <c r="G292" s="158">
        <v>10</v>
      </c>
      <c r="H292" s="159">
        <v>150</v>
      </c>
      <c r="I292" s="158">
        <v>100</v>
      </c>
      <c r="J292" s="157">
        <v>0</v>
      </c>
      <c r="K292" s="158" t="s">
        <v>1195</v>
      </c>
      <c r="L292" s="158"/>
      <c r="M292" s="158"/>
      <c r="N292" s="159" t="s">
        <v>338</v>
      </c>
      <c r="O292" s="160" t="s">
        <v>333</v>
      </c>
      <c r="P292" s="156" t="s">
        <v>588</v>
      </c>
      <c r="Q292" s="156" t="s">
        <v>592</v>
      </c>
      <c r="R292" s="156" t="s">
        <v>308</v>
      </c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408"/>
    </row>
    <row r="293" spans="1:40" ht="10.9" customHeight="1">
      <c r="A293" s="433" t="s">
        <v>979</v>
      </c>
      <c r="B293" s="437" t="s">
        <v>1196</v>
      </c>
      <c r="C293" s="128">
        <v>8000</v>
      </c>
      <c r="D293" s="161">
        <v>500</v>
      </c>
      <c r="E293" s="162">
        <v>35</v>
      </c>
      <c r="F293" s="128">
        <v>15</v>
      </c>
      <c r="G293" s="163">
        <v>10</v>
      </c>
      <c r="H293" s="128">
        <v>100</v>
      </c>
      <c r="I293" s="163">
        <v>150</v>
      </c>
      <c r="J293" s="399">
        <v>2.5</v>
      </c>
      <c r="K293" s="163" t="s">
        <v>1197</v>
      </c>
      <c r="L293" s="163"/>
      <c r="M293" s="163"/>
      <c r="N293" s="128" t="s">
        <v>277</v>
      </c>
      <c r="O293" s="400"/>
      <c r="P293" s="127"/>
      <c r="Q293" s="127"/>
      <c r="R293" s="127"/>
      <c r="S293" s="127"/>
      <c r="T293" s="127"/>
      <c r="U293" s="127"/>
      <c r="V293" s="127"/>
      <c r="W293" s="127"/>
      <c r="X293" s="127"/>
      <c r="Y293" s="127"/>
      <c r="Z293" s="127"/>
      <c r="AA293" s="127"/>
      <c r="AB293" s="127"/>
      <c r="AC293" s="127"/>
      <c r="AD293" s="127"/>
      <c r="AE293" s="127"/>
      <c r="AF293" s="127"/>
      <c r="AG293" s="127"/>
      <c r="AH293" s="127"/>
      <c r="AI293" s="127"/>
      <c r="AJ293" s="127"/>
      <c r="AK293" s="127"/>
      <c r="AL293" s="127"/>
      <c r="AM293" s="127"/>
      <c r="AN293" s="401"/>
    </row>
    <row r="294" spans="1:40" ht="10.9" customHeight="1">
      <c r="A294" s="433" t="s">
        <v>802</v>
      </c>
      <c r="B294" s="437" t="s">
        <v>1198</v>
      </c>
      <c r="C294" s="128">
        <v>6000</v>
      </c>
      <c r="D294" s="161">
        <v>500</v>
      </c>
      <c r="E294" s="162">
        <v>35</v>
      </c>
      <c r="F294" s="128">
        <v>15</v>
      </c>
      <c r="G294" s="163">
        <v>10</v>
      </c>
      <c r="H294" s="128">
        <v>100</v>
      </c>
      <c r="I294" s="163">
        <v>150</v>
      </c>
      <c r="J294" s="399">
        <v>1</v>
      </c>
      <c r="K294" s="163" t="s">
        <v>1199</v>
      </c>
      <c r="L294" s="163"/>
      <c r="M294" s="163"/>
      <c r="N294" s="128" t="s">
        <v>315</v>
      </c>
      <c r="O294" s="400"/>
      <c r="P294" s="127"/>
      <c r="Q294" s="127"/>
      <c r="R294" s="127"/>
      <c r="S294" s="127"/>
      <c r="T294" s="127"/>
      <c r="U294" s="127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  <c r="AI294" s="127"/>
      <c r="AJ294" s="127"/>
      <c r="AK294" s="127"/>
      <c r="AL294" s="127"/>
      <c r="AM294" s="127"/>
      <c r="AN294" s="401"/>
    </row>
    <row r="295" spans="1:40" ht="10.9" customHeight="1">
      <c r="A295" s="433" t="s">
        <v>1200</v>
      </c>
      <c r="B295" s="437" t="s">
        <v>1201</v>
      </c>
      <c r="C295" s="128">
        <v>4000</v>
      </c>
      <c r="D295" s="161">
        <v>500</v>
      </c>
      <c r="E295" s="162">
        <v>35</v>
      </c>
      <c r="F295" s="128">
        <v>15</v>
      </c>
      <c r="G295" s="163">
        <v>0</v>
      </c>
      <c r="H295" s="128">
        <v>100</v>
      </c>
      <c r="I295" s="163">
        <v>150</v>
      </c>
      <c r="J295" s="399">
        <v>1</v>
      </c>
      <c r="K295" s="163" t="s">
        <v>1202</v>
      </c>
      <c r="L295" s="163"/>
      <c r="M295" s="163"/>
      <c r="N295" s="128" t="s">
        <v>25</v>
      </c>
      <c r="O295" s="400"/>
      <c r="P295" s="127"/>
      <c r="Q295" s="127"/>
      <c r="R295" s="127"/>
      <c r="S295" s="127"/>
      <c r="T295" s="127"/>
      <c r="U295" s="127"/>
      <c r="V295" s="127"/>
      <c r="W295" s="127"/>
      <c r="X295" s="127"/>
      <c r="Y295" s="127"/>
      <c r="Z295" s="127"/>
      <c r="AA295" s="127"/>
      <c r="AB295" s="127"/>
      <c r="AC295" s="127"/>
      <c r="AD295" s="127"/>
      <c r="AE295" s="127"/>
      <c r="AF295" s="127"/>
      <c r="AG295" s="127"/>
      <c r="AH295" s="127"/>
      <c r="AI295" s="127"/>
      <c r="AJ295" s="127"/>
      <c r="AK295" s="127"/>
      <c r="AL295" s="127"/>
      <c r="AM295" s="127"/>
      <c r="AN295" s="401"/>
    </row>
    <row r="296" spans="1:40" ht="10.9" customHeight="1">
      <c r="A296" s="433" t="s">
        <v>1263</v>
      </c>
      <c r="B296" s="438" t="s">
        <v>1203</v>
      </c>
      <c r="C296" s="135">
        <v>2000</v>
      </c>
      <c r="D296" s="164">
        <v>500</v>
      </c>
      <c r="E296" s="165">
        <v>35</v>
      </c>
      <c r="F296" s="135">
        <v>15</v>
      </c>
      <c r="G296" s="134">
        <v>0</v>
      </c>
      <c r="H296" s="135">
        <v>100</v>
      </c>
      <c r="I296" s="134">
        <v>150</v>
      </c>
      <c r="J296" s="133">
        <v>1</v>
      </c>
      <c r="K296" s="134" t="s">
        <v>1204</v>
      </c>
      <c r="L296" s="134"/>
      <c r="M296" s="134"/>
      <c r="N296" s="135" t="s">
        <v>25</v>
      </c>
      <c r="O296" s="136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  <c r="AH296" s="132"/>
      <c r="AI296" s="132"/>
      <c r="AJ296" s="132"/>
      <c r="AK296" s="132"/>
      <c r="AL296" s="132"/>
      <c r="AM296" s="132"/>
      <c r="AN296" s="402"/>
    </row>
    <row r="297" spans="1:40" ht="10.9" customHeight="1">
      <c r="A297" s="432" t="s">
        <v>1205</v>
      </c>
      <c r="B297" s="428" t="s">
        <v>1142</v>
      </c>
      <c r="C297" s="168">
        <v>80000</v>
      </c>
      <c r="D297" s="169">
        <v>5000</v>
      </c>
      <c r="E297" s="170">
        <v>45</v>
      </c>
      <c r="F297" s="168">
        <v>30</v>
      </c>
      <c r="G297" s="171">
        <v>15</v>
      </c>
      <c r="H297" s="168">
        <v>100</v>
      </c>
      <c r="I297" s="171">
        <v>150</v>
      </c>
      <c r="J297" s="172">
        <v>0</v>
      </c>
      <c r="K297" s="171" t="s">
        <v>1142</v>
      </c>
      <c r="L297" s="171"/>
      <c r="M297" s="171"/>
      <c r="N297" s="168" t="s">
        <v>285</v>
      </c>
      <c r="O297" s="173" t="s">
        <v>299</v>
      </c>
      <c r="P297" s="171" t="s">
        <v>328</v>
      </c>
      <c r="Q297" s="171" t="s">
        <v>334</v>
      </c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409"/>
    </row>
    <row r="298" spans="1:40" ht="10.9" customHeight="1">
      <c r="A298" s="433" t="s">
        <v>1263</v>
      </c>
      <c r="B298" s="429" t="s">
        <v>1206</v>
      </c>
      <c r="C298" s="181">
        <v>120000</v>
      </c>
      <c r="D298" s="183">
        <v>2500</v>
      </c>
      <c r="E298" s="184">
        <v>40</v>
      </c>
      <c r="F298" s="181">
        <v>30</v>
      </c>
      <c r="G298" s="180">
        <v>15</v>
      </c>
      <c r="H298" s="181">
        <v>150</v>
      </c>
      <c r="I298" s="180">
        <v>150</v>
      </c>
      <c r="J298" s="179">
        <v>2.5</v>
      </c>
      <c r="K298" s="180" t="s">
        <v>1207</v>
      </c>
      <c r="L298" s="180" t="s">
        <v>358</v>
      </c>
      <c r="M298" s="180" t="s">
        <v>595</v>
      </c>
      <c r="N298" s="181" t="s">
        <v>343</v>
      </c>
      <c r="O298" s="182" t="s">
        <v>355</v>
      </c>
      <c r="P298" s="178" t="s">
        <v>314</v>
      </c>
      <c r="Q298" s="178" t="s">
        <v>316</v>
      </c>
      <c r="R298" s="178" t="s">
        <v>333</v>
      </c>
      <c r="S298" s="178" t="s">
        <v>318</v>
      </c>
      <c r="T298" s="178" t="s">
        <v>594</v>
      </c>
      <c r="U298" s="178" t="s">
        <v>351</v>
      </c>
      <c r="V298" s="178" t="s">
        <v>347</v>
      </c>
      <c r="W298" s="178" t="s">
        <v>350</v>
      </c>
      <c r="X298" s="178" t="s">
        <v>299</v>
      </c>
      <c r="Y298" s="178" t="s">
        <v>334</v>
      </c>
      <c r="Z298" s="178" t="s">
        <v>338</v>
      </c>
      <c r="AA298" s="178" t="s">
        <v>588</v>
      </c>
      <c r="AB298" s="178" t="s">
        <v>592</v>
      </c>
      <c r="AC298" s="178"/>
      <c r="AD298" s="178"/>
      <c r="AE298" s="178"/>
      <c r="AF298" s="178"/>
      <c r="AG298" s="178"/>
      <c r="AH298" s="178"/>
      <c r="AI298" s="178"/>
      <c r="AJ298" s="178"/>
      <c r="AK298" s="178"/>
      <c r="AL298" s="178"/>
      <c r="AM298" s="178"/>
      <c r="AN298" s="410"/>
    </row>
    <row r="299" spans="1:40" ht="10.9" customHeight="1">
      <c r="A299" s="433" t="s">
        <v>871</v>
      </c>
      <c r="B299" s="424" t="s">
        <v>1200</v>
      </c>
      <c r="C299" s="137">
        <v>100000</v>
      </c>
      <c r="D299" s="138">
        <v>5000</v>
      </c>
      <c r="E299" s="139">
        <v>50</v>
      </c>
      <c r="F299" s="137">
        <v>30</v>
      </c>
      <c r="G299" s="140">
        <v>15</v>
      </c>
      <c r="H299" s="137">
        <v>100</v>
      </c>
      <c r="I299" s="140">
        <v>150</v>
      </c>
      <c r="J299" s="141">
        <v>1.5</v>
      </c>
      <c r="K299" s="140" t="s">
        <v>1208</v>
      </c>
      <c r="L299" s="140"/>
      <c r="M299" s="140"/>
      <c r="N299" s="137" t="s">
        <v>292</v>
      </c>
      <c r="O299" s="142" t="s">
        <v>278</v>
      </c>
      <c r="P299" s="140" t="s">
        <v>335</v>
      </c>
      <c r="Q299" s="140" t="s">
        <v>346</v>
      </c>
      <c r="R299" s="140" t="s">
        <v>328</v>
      </c>
      <c r="S299" s="140" t="s">
        <v>334</v>
      </c>
      <c r="T299" s="140" t="s">
        <v>322</v>
      </c>
      <c r="U299" s="140" t="s">
        <v>321</v>
      </c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40"/>
      <c r="AF299" s="140"/>
      <c r="AG299" s="140"/>
      <c r="AH299" s="140"/>
      <c r="AI299" s="140"/>
      <c r="AJ299" s="140"/>
      <c r="AK299" s="140"/>
      <c r="AL299" s="140"/>
      <c r="AM299" s="140"/>
      <c r="AN299" s="403"/>
    </row>
    <row r="300" spans="1:40" ht="10.9" customHeight="1">
      <c r="A300" s="433" t="s">
        <v>892</v>
      </c>
      <c r="B300" s="425" t="s">
        <v>1209</v>
      </c>
      <c r="C300" s="143">
        <v>100000</v>
      </c>
      <c r="D300" s="144">
        <v>5000</v>
      </c>
      <c r="E300" s="145">
        <v>50</v>
      </c>
      <c r="F300" s="143">
        <v>30</v>
      </c>
      <c r="G300" s="146">
        <v>15</v>
      </c>
      <c r="H300" s="143">
        <v>100</v>
      </c>
      <c r="I300" s="146">
        <v>150</v>
      </c>
      <c r="J300" s="404">
        <v>1.5</v>
      </c>
      <c r="K300" s="146" t="s">
        <v>1208</v>
      </c>
      <c r="L300" s="146"/>
      <c r="M300" s="146"/>
      <c r="N300" s="143" t="s">
        <v>283</v>
      </c>
      <c r="O300" s="405" t="s">
        <v>298</v>
      </c>
      <c r="P300" s="146" t="s">
        <v>290</v>
      </c>
      <c r="Q300" s="146" t="s">
        <v>349</v>
      </c>
      <c r="R300" s="146" t="s">
        <v>350</v>
      </c>
      <c r="S300" s="146" t="s">
        <v>348</v>
      </c>
      <c r="T300" s="146" t="s">
        <v>304</v>
      </c>
      <c r="U300" s="146" t="s">
        <v>321</v>
      </c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  <c r="AH300" s="146"/>
      <c r="AI300" s="146"/>
      <c r="AJ300" s="146"/>
      <c r="AK300" s="146"/>
      <c r="AL300" s="146"/>
      <c r="AM300" s="146"/>
      <c r="AN300" s="406"/>
    </row>
    <row r="301" spans="1:40" ht="10.9" customHeight="1">
      <c r="A301" s="433" t="s">
        <v>983</v>
      </c>
      <c r="B301" s="425" t="s">
        <v>1210</v>
      </c>
      <c r="C301" s="143">
        <v>100000</v>
      </c>
      <c r="D301" s="144">
        <v>5000</v>
      </c>
      <c r="E301" s="145">
        <v>50</v>
      </c>
      <c r="F301" s="143">
        <v>30</v>
      </c>
      <c r="G301" s="146">
        <v>15</v>
      </c>
      <c r="H301" s="143">
        <v>100</v>
      </c>
      <c r="I301" s="146">
        <v>150</v>
      </c>
      <c r="J301" s="404">
        <v>1.5</v>
      </c>
      <c r="K301" s="146" t="s">
        <v>1208</v>
      </c>
      <c r="L301" s="146"/>
      <c r="M301" s="146"/>
      <c r="N301" s="143" t="s">
        <v>278</v>
      </c>
      <c r="O301" s="405" t="s">
        <v>305</v>
      </c>
      <c r="P301" s="146" t="s">
        <v>314</v>
      </c>
      <c r="Q301" s="146" t="s">
        <v>319</v>
      </c>
      <c r="R301" s="146" t="s">
        <v>333</v>
      </c>
      <c r="S301" s="146" t="s">
        <v>345</v>
      </c>
      <c r="T301" s="146" t="s">
        <v>320</v>
      </c>
      <c r="U301" s="146" t="s">
        <v>312</v>
      </c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  <c r="AH301" s="146"/>
      <c r="AI301" s="146"/>
      <c r="AJ301" s="146"/>
      <c r="AK301" s="146"/>
      <c r="AL301" s="146"/>
      <c r="AM301" s="146"/>
      <c r="AN301" s="406"/>
    </row>
    <row r="302" spans="1:40" ht="10.9" customHeight="1">
      <c r="A302" s="433" t="s">
        <v>1032</v>
      </c>
      <c r="B302" s="425" t="s">
        <v>1211</v>
      </c>
      <c r="C302" s="143">
        <v>100000</v>
      </c>
      <c r="D302" s="144">
        <v>5000</v>
      </c>
      <c r="E302" s="145">
        <v>50</v>
      </c>
      <c r="F302" s="143">
        <v>30</v>
      </c>
      <c r="G302" s="146">
        <v>15</v>
      </c>
      <c r="H302" s="143">
        <v>100</v>
      </c>
      <c r="I302" s="146">
        <v>150</v>
      </c>
      <c r="J302" s="404">
        <v>1.5</v>
      </c>
      <c r="K302" s="146" t="s">
        <v>1208</v>
      </c>
      <c r="L302" s="146"/>
      <c r="M302" s="146"/>
      <c r="N302" s="143" t="s">
        <v>303</v>
      </c>
      <c r="O302" s="405" t="s">
        <v>294</v>
      </c>
      <c r="P302" s="146" t="s">
        <v>298</v>
      </c>
      <c r="Q302" s="146" t="s">
        <v>297</v>
      </c>
      <c r="R302" s="146" t="s">
        <v>338</v>
      </c>
      <c r="S302" s="146" t="s">
        <v>318</v>
      </c>
      <c r="T302" s="146" t="s">
        <v>356</v>
      </c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  <c r="AH302" s="146"/>
      <c r="AI302" s="146"/>
      <c r="AJ302" s="146"/>
      <c r="AK302" s="146"/>
      <c r="AL302" s="146"/>
      <c r="AM302" s="146"/>
      <c r="AN302" s="406"/>
    </row>
    <row r="303" spans="1:40" ht="10.9" customHeight="1">
      <c r="A303" s="433" t="s">
        <v>1068</v>
      </c>
      <c r="B303" s="425" t="s">
        <v>1212</v>
      </c>
      <c r="C303" s="143">
        <v>100000</v>
      </c>
      <c r="D303" s="144">
        <v>5000</v>
      </c>
      <c r="E303" s="145">
        <v>50</v>
      </c>
      <c r="F303" s="143">
        <v>30</v>
      </c>
      <c r="G303" s="146">
        <v>15</v>
      </c>
      <c r="H303" s="143">
        <v>100</v>
      </c>
      <c r="I303" s="146">
        <v>150</v>
      </c>
      <c r="J303" s="404">
        <v>1.5</v>
      </c>
      <c r="K303" s="146" t="s">
        <v>1208</v>
      </c>
      <c r="L303" s="146"/>
      <c r="M303" s="146"/>
      <c r="N303" s="143" t="s">
        <v>279</v>
      </c>
      <c r="O303" s="405" t="s">
        <v>294</v>
      </c>
      <c r="P303" s="146" t="s">
        <v>310</v>
      </c>
      <c r="Q303" s="146" t="s">
        <v>317</v>
      </c>
      <c r="R303" s="146" t="s">
        <v>343</v>
      </c>
      <c r="S303" s="146" t="s">
        <v>344</v>
      </c>
      <c r="T303" s="146" t="s">
        <v>593</v>
      </c>
      <c r="U303" s="146" t="s">
        <v>311</v>
      </c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  <c r="AH303" s="146"/>
      <c r="AI303" s="146"/>
      <c r="AJ303" s="146"/>
      <c r="AK303" s="146"/>
      <c r="AL303" s="146"/>
      <c r="AM303" s="146"/>
      <c r="AN303" s="406"/>
    </row>
    <row r="304" spans="1:40" ht="10.9" customHeight="1">
      <c r="A304" s="433" t="s">
        <v>1213</v>
      </c>
      <c r="B304" s="425" t="s">
        <v>1214</v>
      </c>
      <c r="C304" s="143">
        <v>100000</v>
      </c>
      <c r="D304" s="144">
        <v>5000</v>
      </c>
      <c r="E304" s="145">
        <v>50</v>
      </c>
      <c r="F304" s="143">
        <v>30</v>
      </c>
      <c r="G304" s="146">
        <v>15</v>
      </c>
      <c r="H304" s="143">
        <v>100</v>
      </c>
      <c r="I304" s="146">
        <v>150</v>
      </c>
      <c r="J304" s="404">
        <v>1.5</v>
      </c>
      <c r="K304" s="146" t="s">
        <v>1208</v>
      </c>
      <c r="L304" s="146"/>
      <c r="M304" s="146"/>
      <c r="N304" s="143" t="s">
        <v>287</v>
      </c>
      <c r="O304" s="405" t="s">
        <v>355</v>
      </c>
      <c r="P304" s="146" t="s">
        <v>324</v>
      </c>
      <c r="Q304" s="146" t="s">
        <v>309</v>
      </c>
      <c r="R304" s="146" t="s">
        <v>332</v>
      </c>
      <c r="S304" s="146" t="s">
        <v>304</v>
      </c>
      <c r="T304" s="146" t="s">
        <v>357</v>
      </c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  <c r="AH304" s="146"/>
      <c r="AI304" s="146"/>
      <c r="AJ304" s="146"/>
      <c r="AK304" s="146"/>
      <c r="AL304" s="146"/>
      <c r="AM304" s="146"/>
      <c r="AN304" s="406"/>
    </row>
    <row r="305" spans="1:40" ht="10.9" customHeight="1">
      <c r="A305" s="433" t="s">
        <v>1215</v>
      </c>
      <c r="B305" s="425" t="s">
        <v>1216</v>
      </c>
      <c r="C305" s="143">
        <v>100000</v>
      </c>
      <c r="D305" s="144">
        <v>5000</v>
      </c>
      <c r="E305" s="145">
        <v>50</v>
      </c>
      <c r="F305" s="143">
        <v>30</v>
      </c>
      <c r="G305" s="146">
        <v>15</v>
      </c>
      <c r="H305" s="143">
        <v>100</v>
      </c>
      <c r="I305" s="146">
        <v>150</v>
      </c>
      <c r="J305" s="404">
        <v>1.5</v>
      </c>
      <c r="K305" s="146" t="s">
        <v>1208</v>
      </c>
      <c r="L305" s="146"/>
      <c r="M305" s="146"/>
      <c r="N305" s="143" t="s">
        <v>299</v>
      </c>
      <c r="O305" s="405" t="s">
        <v>351</v>
      </c>
      <c r="P305" s="146" t="s">
        <v>347</v>
      </c>
      <c r="Q305" s="146" t="s">
        <v>345</v>
      </c>
      <c r="R305" s="146" t="s">
        <v>342</v>
      </c>
      <c r="S305" s="146" t="s">
        <v>356</v>
      </c>
      <c r="T305" s="146" t="s">
        <v>357</v>
      </c>
      <c r="U305" s="146" t="s">
        <v>315</v>
      </c>
      <c r="V305" s="146" t="s">
        <v>583</v>
      </c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  <c r="AH305" s="146"/>
      <c r="AI305" s="146"/>
      <c r="AJ305" s="146"/>
      <c r="AK305" s="146"/>
      <c r="AL305" s="146"/>
      <c r="AM305" s="146"/>
      <c r="AN305" s="406"/>
    </row>
    <row r="306" spans="1:40" ht="10.9" customHeight="1">
      <c r="A306" s="433" t="s">
        <v>1263</v>
      </c>
      <c r="B306" s="426" t="s">
        <v>1217</v>
      </c>
      <c r="C306" s="147">
        <v>100000</v>
      </c>
      <c r="D306" s="148">
        <v>5000</v>
      </c>
      <c r="E306" s="149">
        <v>50</v>
      </c>
      <c r="F306" s="147">
        <v>30</v>
      </c>
      <c r="G306" s="150">
        <v>15</v>
      </c>
      <c r="H306" s="147">
        <v>100</v>
      </c>
      <c r="I306" s="150">
        <v>150</v>
      </c>
      <c r="J306" s="151">
        <v>1.5</v>
      </c>
      <c r="K306" s="150" t="s">
        <v>1208</v>
      </c>
      <c r="L306" s="150"/>
      <c r="M306" s="150"/>
      <c r="N306" s="147" t="s">
        <v>293</v>
      </c>
      <c r="O306" s="152" t="s">
        <v>286</v>
      </c>
      <c r="P306" s="150" t="s">
        <v>338</v>
      </c>
      <c r="Q306" s="150" t="s">
        <v>337</v>
      </c>
      <c r="R306" s="150" t="s">
        <v>316</v>
      </c>
      <c r="S306" s="150" t="s">
        <v>317</v>
      </c>
      <c r="T306" s="150" t="s">
        <v>333</v>
      </c>
      <c r="U306" s="150" t="s">
        <v>318</v>
      </c>
      <c r="V306" s="150" t="s">
        <v>597</v>
      </c>
      <c r="W306" s="150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  <c r="AH306" s="150"/>
      <c r="AI306" s="150"/>
      <c r="AJ306" s="150"/>
      <c r="AK306" s="150"/>
      <c r="AL306" s="150"/>
      <c r="AM306" s="150"/>
      <c r="AN306" s="407"/>
    </row>
    <row r="307" spans="1:40" ht="10.9" customHeight="1">
      <c r="A307" s="432" t="s">
        <v>1218</v>
      </c>
      <c r="B307" s="429" t="s">
        <v>1219</v>
      </c>
      <c r="C307" s="181">
        <v>100000</v>
      </c>
      <c r="D307" s="183">
        <v>10000</v>
      </c>
      <c r="E307" s="184">
        <v>50</v>
      </c>
      <c r="F307" s="181">
        <v>30</v>
      </c>
      <c r="G307" s="180">
        <v>15</v>
      </c>
      <c r="H307" s="181">
        <v>100</v>
      </c>
      <c r="I307" s="180">
        <v>150</v>
      </c>
      <c r="J307" s="179">
        <v>2.5</v>
      </c>
      <c r="K307" s="180" t="s">
        <v>1220</v>
      </c>
      <c r="L307" s="180"/>
      <c r="M307" s="180"/>
      <c r="N307" s="181" t="s">
        <v>306</v>
      </c>
      <c r="O307" s="182" t="s">
        <v>298</v>
      </c>
      <c r="P307" s="180" t="s">
        <v>279</v>
      </c>
      <c r="Q307" s="182" t="s">
        <v>287</v>
      </c>
      <c r="R307" s="178" t="s">
        <v>299</v>
      </c>
      <c r="S307" s="178" t="s">
        <v>292</v>
      </c>
      <c r="T307" s="178" t="s">
        <v>278</v>
      </c>
      <c r="U307" s="178" t="s">
        <v>283</v>
      </c>
      <c r="V307" s="178" t="s">
        <v>293</v>
      </c>
      <c r="W307" s="178" t="s">
        <v>303</v>
      </c>
      <c r="X307" s="178" t="s">
        <v>343</v>
      </c>
      <c r="Y307" s="178" t="s">
        <v>593</v>
      </c>
      <c r="Z307" s="178" t="s">
        <v>355</v>
      </c>
      <c r="AA307" s="178" t="s">
        <v>332</v>
      </c>
      <c r="AB307" s="178" t="s">
        <v>342</v>
      </c>
      <c r="AC307" s="178" t="s">
        <v>347</v>
      </c>
      <c r="AD307" s="178" t="s">
        <v>328</v>
      </c>
      <c r="AE307" s="178" t="s">
        <v>334</v>
      </c>
      <c r="AF307" s="178" t="s">
        <v>305</v>
      </c>
      <c r="AG307" s="178" t="s">
        <v>319</v>
      </c>
      <c r="AH307" s="178" t="s">
        <v>350</v>
      </c>
      <c r="AI307" s="178" t="s">
        <v>304</v>
      </c>
      <c r="AJ307" s="178" t="s">
        <v>338</v>
      </c>
      <c r="AK307" s="178" t="s">
        <v>337</v>
      </c>
      <c r="AL307" s="178" t="s">
        <v>318</v>
      </c>
      <c r="AM307" s="178" t="s">
        <v>356</v>
      </c>
      <c r="AN307" s="410" t="s">
        <v>591</v>
      </c>
    </row>
    <row r="308" spans="1:40" ht="10.9" customHeight="1">
      <c r="A308" s="433" t="s">
        <v>1263</v>
      </c>
      <c r="B308" s="424" t="s">
        <v>1221</v>
      </c>
      <c r="C308" s="137">
        <v>150000</v>
      </c>
      <c r="D308" s="138">
        <v>10000</v>
      </c>
      <c r="E308" s="139">
        <v>50</v>
      </c>
      <c r="F308" s="137">
        <v>30</v>
      </c>
      <c r="G308" s="140">
        <v>15</v>
      </c>
      <c r="H308" s="137" t="s">
        <v>622</v>
      </c>
      <c r="I308" s="140">
        <v>100</v>
      </c>
      <c r="J308" s="141">
        <v>2.5</v>
      </c>
      <c r="K308" s="140" t="s">
        <v>1222</v>
      </c>
      <c r="L308" s="140"/>
      <c r="M308" s="140"/>
      <c r="N308" s="137" t="s">
        <v>287</v>
      </c>
      <c r="O308" s="142" t="s">
        <v>293</v>
      </c>
      <c r="P308" s="140" t="s">
        <v>350</v>
      </c>
      <c r="Q308" s="140" t="s">
        <v>319</v>
      </c>
      <c r="R308" s="140" t="s">
        <v>332</v>
      </c>
      <c r="S308" s="140"/>
      <c r="T308" s="140"/>
      <c r="U308" s="140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40"/>
      <c r="AF308" s="140"/>
      <c r="AG308" s="140"/>
      <c r="AH308" s="140"/>
      <c r="AI308" s="140"/>
      <c r="AJ308" s="140"/>
      <c r="AK308" s="140"/>
      <c r="AL308" s="140"/>
      <c r="AM308" s="140"/>
      <c r="AN308" s="403"/>
    </row>
    <row r="309" spans="1:40" ht="10.9" customHeight="1">
      <c r="A309" s="433" t="s">
        <v>685</v>
      </c>
      <c r="B309" s="425" t="s">
        <v>1223</v>
      </c>
      <c r="C309" s="143">
        <v>150000</v>
      </c>
      <c r="D309" s="144">
        <v>10000</v>
      </c>
      <c r="E309" s="145">
        <v>50</v>
      </c>
      <c r="F309" s="143">
        <v>30</v>
      </c>
      <c r="G309" s="146">
        <v>15</v>
      </c>
      <c r="H309" s="143">
        <v>100</v>
      </c>
      <c r="I309" s="146" t="s">
        <v>623</v>
      </c>
      <c r="J309" s="404">
        <v>2.5</v>
      </c>
      <c r="K309" s="146" t="s">
        <v>1224</v>
      </c>
      <c r="L309" s="146"/>
      <c r="M309" s="146"/>
      <c r="N309" s="143" t="s">
        <v>299</v>
      </c>
      <c r="O309" s="405" t="s">
        <v>303</v>
      </c>
      <c r="P309" s="146" t="s">
        <v>278</v>
      </c>
      <c r="Q309" s="146" t="s">
        <v>345</v>
      </c>
      <c r="R309" s="146" t="s">
        <v>347</v>
      </c>
      <c r="S309" s="146" t="s">
        <v>356</v>
      </c>
      <c r="T309" s="146" t="s">
        <v>592</v>
      </c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  <c r="AH309" s="146"/>
      <c r="AI309" s="146"/>
      <c r="AJ309" s="146"/>
      <c r="AK309" s="146"/>
      <c r="AL309" s="146"/>
      <c r="AM309" s="146"/>
      <c r="AN309" s="406"/>
    </row>
    <row r="310" spans="1:40" ht="10.9" customHeight="1">
      <c r="A310" s="433" t="s">
        <v>796</v>
      </c>
      <c r="B310" s="426" t="s">
        <v>1225</v>
      </c>
      <c r="C310" s="147">
        <v>150000</v>
      </c>
      <c r="D310" s="148">
        <v>10000</v>
      </c>
      <c r="E310" s="149">
        <v>50</v>
      </c>
      <c r="F310" s="147">
        <v>60</v>
      </c>
      <c r="G310" s="150">
        <v>15</v>
      </c>
      <c r="H310" s="147">
        <v>100</v>
      </c>
      <c r="I310" s="150">
        <v>100</v>
      </c>
      <c r="J310" s="151">
        <v>1.5</v>
      </c>
      <c r="K310" s="150" t="s">
        <v>1226</v>
      </c>
      <c r="L310" s="150"/>
      <c r="M310" s="150"/>
      <c r="N310" s="147" t="s">
        <v>279</v>
      </c>
      <c r="O310" s="152" t="s">
        <v>294</v>
      </c>
      <c r="P310" s="150" t="s">
        <v>292</v>
      </c>
      <c r="Q310" s="150" t="s">
        <v>338</v>
      </c>
      <c r="R310" s="150" t="s">
        <v>334</v>
      </c>
      <c r="S310" s="150" t="s">
        <v>593</v>
      </c>
      <c r="T310" s="150" t="s">
        <v>584</v>
      </c>
      <c r="U310" s="150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  <c r="AH310" s="150"/>
      <c r="AI310" s="150"/>
      <c r="AJ310" s="150"/>
      <c r="AK310" s="150"/>
      <c r="AL310" s="150"/>
      <c r="AM310" s="150"/>
      <c r="AN310" s="407"/>
    </row>
    <row r="311" spans="1:40" ht="10.9" customHeight="1">
      <c r="A311" s="433" t="s">
        <v>658</v>
      </c>
      <c r="B311" s="436" t="s">
        <v>1227</v>
      </c>
      <c r="C311" s="159">
        <v>40000</v>
      </c>
      <c r="D311" s="166">
        <v>1000</v>
      </c>
      <c r="E311" s="167">
        <v>50</v>
      </c>
      <c r="F311" s="159">
        <v>15</v>
      </c>
      <c r="G311" s="158">
        <v>15</v>
      </c>
      <c r="H311" s="159">
        <v>150</v>
      </c>
      <c r="I311" s="158">
        <v>100</v>
      </c>
      <c r="J311" s="157">
        <v>2.5</v>
      </c>
      <c r="K311" s="158" t="s">
        <v>1228</v>
      </c>
      <c r="L311" s="158" t="s">
        <v>353</v>
      </c>
      <c r="M311" s="158"/>
      <c r="N311" s="159" t="s">
        <v>596</v>
      </c>
      <c r="O311" s="160" t="s">
        <v>594</v>
      </c>
      <c r="P311" s="156" t="s">
        <v>350</v>
      </c>
      <c r="Q311" s="156" t="s">
        <v>283</v>
      </c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56"/>
      <c r="AE311" s="156"/>
      <c r="AF311" s="156"/>
      <c r="AG311" s="156"/>
      <c r="AH311" s="156"/>
      <c r="AI311" s="156"/>
      <c r="AJ311" s="156"/>
      <c r="AK311" s="156"/>
      <c r="AL311" s="156"/>
      <c r="AM311" s="156"/>
      <c r="AN311" s="408"/>
    </row>
    <row r="312" spans="1:40" ht="10.9" customHeight="1">
      <c r="A312" s="433" t="s">
        <v>341</v>
      </c>
      <c r="B312" s="437" t="s">
        <v>1229</v>
      </c>
      <c r="C312" s="128">
        <v>30000</v>
      </c>
      <c r="D312" s="161">
        <v>1000</v>
      </c>
      <c r="E312" s="162">
        <v>50</v>
      </c>
      <c r="F312" s="128">
        <v>30</v>
      </c>
      <c r="G312" s="163">
        <v>15</v>
      </c>
      <c r="H312" s="128">
        <v>150</v>
      </c>
      <c r="I312" s="163">
        <v>100</v>
      </c>
      <c r="J312" s="399">
        <v>1.5</v>
      </c>
      <c r="K312" s="163" t="s">
        <v>1230</v>
      </c>
      <c r="L312" s="163"/>
      <c r="M312" s="163"/>
      <c r="N312" s="128" t="s">
        <v>349</v>
      </c>
      <c r="O312" s="400" t="s">
        <v>586</v>
      </c>
      <c r="P312" s="127" t="s">
        <v>350</v>
      </c>
      <c r="Q312" s="127" t="s">
        <v>304</v>
      </c>
      <c r="R312" s="127"/>
      <c r="S312" s="127"/>
      <c r="T312" s="127"/>
      <c r="U312" s="127"/>
      <c r="V312" s="127"/>
      <c r="W312" s="127"/>
      <c r="X312" s="127"/>
      <c r="Y312" s="127"/>
      <c r="Z312" s="127"/>
      <c r="AA312" s="127"/>
      <c r="AB312" s="127"/>
      <c r="AC312" s="127"/>
      <c r="AD312" s="127"/>
      <c r="AE312" s="127"/>
      <c r="AF312" s="127"/>
      <c r="AG312" s="127"/>
      <c r="AH312" s="127"/>
      <c r="AI312" s="127"/>
      <c r="AJ312" s="127"/>
      <c r="AK312" s="127"/>
      <c r="AL312" s="127"/>
      <c r="AM312" s="127"/>
      <c r="AN312" s="401"/>
    </row>
    <row r="313" spans="1:40" ht="10.9" customHeight="1">
      <c r="A313" s="433" t="s">
        <v>888</v>
      </c>
      <c r="B313" s="438" t="s">
        <v>1231</v>
      </c>
      <c r="C313" s="135">
        <v>30000</v>
      </c>
      <c r="D313" s="164">
        <v>2500</v>
      </c>
      <c r="E313" s="165">
        <v>40</v>
      </c>
      <c r="F313" s="135">
        <v>30</v>
      </c>
      <c r="G313" s="134">
        <v>15</v>
      </c>
      <c r="H313" s="135">
        <v>100</v>
      </c>
      <c r="I313" s="134">
        <v>150</v>
      </c>
      <c r="J313" s="133">
        <v>1</v>
      </c>
      <c r="K313" s="134" t="s">
        <v>1232</v>
      </c>
      <c r="L313" s="134"/>
      <c r="M313" s="134"/>
      <c r="N313" s="135" t="s">
        <v>290</v>
      </c>
      <c r="O313" s="136" t="s">
        <v>297</v>
      </c>
      <c r="P313" s="132" t="s">
        <v>588</v>
      </c>
      <c r="Q313" s="132" t="s">
        <v>352</v>
      </c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  <c r="AH313" s="132"/>
      <c r="AI313" s="132"/>
      <c r="AJ313" s="132"/>
      <c r="AK313" s="132"/>
      <c r="AL313" s="132"/>
      <c r="AM313" s="132"/>
      <c r="AN313" s="402"/>
    </row>
    <row r="314" spans="1:40" ht="10.9" customHeight="1">
      <c r="A314" s="433" t="s">
        <v>959</v>
      </c>
      <c r="B314" s="439" t="s">
        <v>1233</v>
      </c>
      <c r="C314" s="137">
        <v>30000</v>
      </c>
      <c r="D314" s="138" t="s">
        <v>25</v>
      </c>
      <c r="E314" s="139">
        <v>40</v>
      </c>
      <c r="F314" s="137">
        <v>30</v>
      </c>
      <c r="G314" s="140">
        <v>15</v>
      </c>
      <c r="H314" s="137">
        <v>150</v>
      </c>
      <c r="I314" s="140">
        <v>150</v>
      </c>
      <c r="J314" s="141">
        <v>1</v>
      </c>
      <c r="K314" s="140" t="s">
        <v>1234</v>
      </c>
      <c r="L314" s="140"/>
      <c r="M314" s="140"/>
      <c r="N314" s="137" t="s">
        <v>343</v>
      </c>
      <c r="O314" s="142" t="s">
        <v>355</v>
      </c>
      <c r="P314" s="140" t="s">
        <v>583</v>
      </c>
      <c r="Q314" s="140" t="s">
        <v>1270</v>
      </c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40"/>
      <c r="AF314" s="140"/>
      <c r="AG314" s="140"/>
      <c r="AH314" s="140"/>
      <c r="AI314" s="140"/>
      <c r="AJ314" s="140"/>
      <c r="AK314" s="140"/>
      <c r="AL314" s="140"/>
      <c r="AM314" s="140"/>
      <c r="AN314" s="403"/>
    </row>
    <row r="315" spans="1:40" ht="10.9" customHeight="1">
      <c r="A315" s="433" t="s">
        <v>1182</v>
      </c>
      <c r="B315" s="440" t="s">
        <v>1235</v>
      </c>
      <c r="C315" s="143">
        <v>30000</v>
      </c>
      <c r="D315" s="144" t="s">
        <v>25</v>
      </c>
      <c r="E315" s="145">
        <v>40</v>
      </c>
      <c r="F315" s="143">
        <v>30</v>
      </c>
      <c r="G315" s="146">
        <v>15</v>
      </c>
      <c r="H315" s="143">
        <v>150</v>
      </c>
      <c r="I315" s="146">
        <v>100</v>
      </c>
      <c r="J315" s="404">
        <v>1.5</v>
      </c>
      <c r="K315" s="146" t="s">
        <v>1236</v>
      </c>
      <c r="L315" s="146"/>
      <c r="M315" s="146"/>
      <c r="N315" s="143" t="s">
        <v>589</v>
      </c>
      <c r="O315" s="405" t="s">
        <v>336</v>
      </c>
      <c r="P315" s="146" t="s">
        <v>340</v>
      </c>
      <c r="Q315" s="146" t="s">
        <v>1270</v>
      </c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  <c r="AH315" s="146"/>
      <c r="AI315" s="146"/>
      <c r="AJ315" s="146"/>
      <c r="AK315" s="146"/>
      <c r="AL315" s="146"/>
      <c r="AM315" s="146"/>
      <c r="AN315" s="406"/>
    </row>
    <row r="316" spans="1:40" ht="10.9" customHeight="1">
      <c r="A316" s="433" t="s">
        <v>1263</v>
      </c>
      <c r="B316" s="440" t="s">
        <v>1237</v>
      </c>
      <c r="C316" s="143">
        <v>20000</v>
      </c>
      <c r="D316" s="144">
        <v>2500</v>
      </c>
      <c r="E316" s="145">
        <v>40</v>
      </c>
      <c r="F316" s="143">
        <v>0</v>
      </c>
      <c r="G316" s="146">
        <v>15</v>
      </c>
      <c r="H316" s="143">
        <v>100</v>
      </c>
      <c r="I316" s="146">
        <v>150</v>
      </c>
      <c r="J316" s="404">
        <v>0</v>
      </c>
      <c r="K316" s="146" t="s">
        <v>5</v>
      </c>
      <c r="L316" s="146"/>
      <c r="M316" s="146"/>
      <c r="N316" s="143" t="s">
        <v>279</v>
      </c>
      <c r="O316" s="405" t="s">
        <v>287</v>
      </c>
      <c r="P316" s="146" t="s">
        <v>299</v>
      </c>
      <c r="Q316" s="146" t="s">
        <v>286</v>
      </c>
      <c r="R316" s="146" t="s">
        <v>292</v>
      </c>
      <c r="S316" s="146" t="s">
        <v>294</v>
      </c>
      <c r="T316" s="146" t="s">
        <v>277</v>
      </c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  <c r="AH316" s="146"/>
      <c r="AI316" s="146"/>
      <c r="AJ316" s="146"/>
      <c r="AK316" s="146"/>
      <c r="AL316" s="146"/>
      <c r="AM316" s="146"/>
      <c r="AN316" s="406"/>
    </row>
    <row r="317" spans="1:40" ht="10.9" customHeight="1">
      <c r="A317" s="432" t="s">
        <v>1238</v>
      </c>
      <c r="B317" s="441" t="s">
        <v>1239</v>
      </c>
      <c r="C317" s="147">
        <v>20000</v>
      </c>
      <c r="D317" s="148" t="s">
        <v>25</v>
      </c>
      <c r="E317" s="149">
        <v>50</v>
      </c>
      <c r="F317" s="147">
        <v>15</v>
      </c>
      <c r="G317" s="150">
        <v>0</v>
      </c>
      <c r="H317" s="147">
        <v>100</v>
      </c>
      <c r="I317" s="150">
        <v>100</v>
      </c>
      <c r="J317" s="151">
        <v>1.5</v>
      </c>
      <c r="K317" s="150" t="s">
        <v>1240</v>
      </c>
      <c r="L317" s="150"/>
      <c r="M317" s="150"/>
      <c r="N317" s="147" t="s">
        <v>25</v>
      </c>
      <c r="O317" s="152"/>
      <c r="P317" s="150"/>
      <c r="Q317" s="150"/>
      <c r="R317" s="150"/>
      <c r="S317" s="150"/>
      <c r="T317" s="150"/>
      <c r="U317" s="150"/>
      <c r="V317" s="150"/>
      <c r="W317" s="150"/>
      <c r="X317" s="150"/>
      <c r="Y317" s="150"/>
      <c r="Z317" s="150"/>
      <c r="AA317" s="150"/>
      <c r="AB317" s="150"/>
      <c r="AC317" s="150"/>
      <c r="AD317" s="150"/>
      <c r="AE317" s="150"/>
      <c r="AF317" s="150"/>
      <c r="AG317" s="150"/>
      <c r="AH317" s="150"/>
      <c r="AI317" s="150"/>
      <c r="AJ317" s="150"/>
      <c r="AK317" s="150"/>
      <c r="AL317" s="150"/>
      <c r="AM317" s="150"/>
      <c r="AN317" s="407"/>
    </row>
    <row r="318" spans="1:40" ht="10.9" customHeight="1">
      <c r="A318" s="433" t="s">
        <v>1263</v>
      </c>
      <c r="B318" s="436" t="s">
        <v>1241</v>
      </c>
      <c r="C318" s="159">
        <v>20000</v>
      </c>
      <c r="D318" s="166">
        <v>5000</v>
      </c>
      <c r="E318" s="167">
        <v>40</v>
      </c>
      <c r="F318" s="159">
        <v>0</v>
      </c>
      <c r="G318" s="158">
        <v>15</v>
      </c>
      <c r="H318" s="159">
        <v>100</v>
      </c>
      <c r="I318" s="158">
        <v>150</v>
      </c>
      <c r="J318" s="157">
        <v>0</v>
      </c>
      <c r="K318" s="158" t="s">
        <v>1242</v>
      </c>
      <c r="L318" s="158"/>
      <c r="M318" s="158"/>
      <c r="N318" s="159" t="s">
        <v>303</v>
      </c>
      <c r="O318" s="160" t="s">
        <v>317</v>
      </c>
      <c r="P318" s="156" t="s">
        <v>318</v>
      </c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  <c r="AD318" s="156"/>
      <c r="AE318" s="156"/>
      <c r="AF318" s="156"/>
      <c r="AG318" s="156"/>
      <c r="AH318" s="156"/>
      <c r="AI318" s="156"/>
      <c r="AJ318" s="156"/>
      <c r="AK318" s="156"/>
      <c r="AL318" s="156"/>
      <c r="AM318" s="156"/>
      <c r="AN318" s="408"/>
    </row>
    <row r="319" spans="1:40" ht="10.9" customHeight="1">
      <c r="A319" s="433" t="s">
        <v>1002</v>
      </c>
      <c r="B319" s="438" t="s">
        <v>1243</v>
      </c>
      <c r="C319" s="135">
        <v>50000</v>
      </c>
      <c r="D319" s="164">
        <v>5000</v>
      </c>
      <c r="E319" s="165">
        <v>50</v>
      </c>
      <c r="F319" s="135">
        <v>0</v>
      </c>
      <c r="G319" s="134">
        <v>15</v>
      </c>
      <c r="H319" s="135">
        <v>100</v>
      </c>
      <c r="I319" s="134">
        <v>150</v>
      </c>
      <c r="J319" s="133">
        <v>0</v>
      </c>
      <c r="K319" s="134" t="s">
        <v>1244</v>
      </c>
      <c r="L319" s="134"/>
      <c r="M319" s="134"/>
      <c r="N319" s="135" t="s">
        <v>284</v>
      </c>
      <c r="O319" s="136" t="s">
        <v>278</v>
      </c>
      <c r="P319" s="132" t="s">
        <v>328</v>
      </c>
      <c r="Q319" s="132" t="s">
        <v>322</v>
      </c>
      <c r="R319" s="132" t="s">
        <v>592</v>
      </c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  <c r="AH319" s="132"/>
      <c r="AI319" s="132"/>
      <c r="AJ319" s="132"/>
      <c r="AK319" s="132"/>
      <c r="AL319" s="132"/>
      <c r="AM319" s="132"/>
      <c r="AN319" s="402"/>
    </row>
    <row r="320" spans="1:40" ht="10.9" customHeight="1">
      <c r="A320" s="433" t="s">
        <v>1012</v>
      </c>
      <c r="B320" s="424" t="s">
        <v>862</v>
      </c>
      <c r="C320" s="137">
        <v>5000</v>
      </c>
      <c r="D320" s="138">
        <v>500</v>
      </c>
      <c r="E320" s="139">
        <v>15</v>
      </c>
      <c r="F320" s="137">
        <v>30</v>
      </c>
      <c r="G320" s="140">
        <v>1</v>
      </c>
      <c r="H320" s="137">
        <v>100</v>
      </c>
      <c r="I320" s="140">
        <v>150</v>
      </c>
      <c r="J320" s="141">
        <v>1.5</v>
      </c>
      <c r="K320" s="140" t="s">
        <v>1245</v>
      </c>
      <c r="L320" s="140"/>
      <c r="M320" s="140"/>
      <c r="N320" s="137" t="s">
        <v>275</v>
      </c>
      <c r="O320" s="142" t="s">
        <v>276</v>
      </c>
      <c r="P320" s="140" t="s">
        <v>295</v>
      </c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40"/>
      <c r="AF320" s="140"/>
      <c r="AG320" s="140"/>
      <c r="AH320" s="140"/>
      <c r="AI320" s="140"/>
      <c r="AJ320" s="140"/>
      <c r="AK320" s="140"/>
      <c r="AL320" s="140"/>
      <c r="AM320" s="140"/>
      <c r="AN320" s="403"/>
    </row>
    <row r="321" spans="1:40" ht="10.9" customHeight="1">
      <c r="A321" s="433" t="s">
        <v>665</v>
      </c>
      <c r="B321" s="425" t="s">
        <v>989</v>
      </c>
      <c r="C321" s="143" t="s">
        <v>25</v>
      </c>
      <c r="D321" s="144">
        <v>1000</v>
      </c>
      <c r="E321" s="145">
        <v>20</v>
      </c>
      <c r="F321" s="143">
        <v>30</v>
      </c>
      <c r="G321" s="146">
        <v>7</v>
      </c>
      <c r="H321" s="143" t="s">
        <v>25</v>
      </c>
      <c r="I321" s="146" t="s">
        <v>25</v>
      </c>
      <c r="J321" s="404">
        <v>1.5</v>
      </c>
      <c r="K321" s="146" t="s">
        <v>1245</v>
      </c>
      <c r="L321" s="146"/>
      <c r="M321" s="146"/>
      <c r="N321" s="143" t="s">
        <v>281</v>
      </c>
      <c r="O321" s="405" t="s">
        <v>282</v>
      </c>
      <c r="P321" s="146" t="s">
        <v>285</v>
      </c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  <c r="AH321" s="146"/>
      <c r="AI321" s="146"/>
      <c r="AJ321" s="146"/>
      <c r="AK321" s="146"/>
      <c r="AL321" s="146"/>
      <c r="AM321" s="146"/>
      <c r="AN321" s="406"/>
    </row>
    <row r="322" spans="1:40" ht="10.9" customHeight="1" thickBot="1">
      <c r="A322" s="433" t="s">
        <v>698</v>
      </c>
      <c r="B322" s="430" t="s">
        <v>1246</v>
      </c>
      <c r="C322" s="411">
        <v>120000</v>
      </c>
      <c r="D322" s="412">
        <v>10000</v>
      </c>
      <c r="E322" s="413">
        <v>50</v>
      </c>
      <c r="F322" s="411">
        <v>30</v>
      </c>
      <c r="G322" s="414">
        <v>15</v>
      </c>
      <c r="H322" s="411">
        <v>100</v>
      </c>
      <c r="I322" s="414">
        <v>150</v>
      </c>
      <c r="J322" s="415">
        <v>2.5</v>
      </c>
      <c r="K322" s="416" t="s">
        <v>1247</v>
      </c>
      <c r="L322" s="416"/>
      <c r="M322" s="416"/>
      <c r="N322" s="411" t="s">
        <v>279</v>
      </c>
      <c r="O322" s="417" t="s">
        <v>287</v>
      </c>
      <c r="P322" s="414" t="s">
        <v>299</v>
      </c>
      <c r="Q322" s="414" t="s">
        <v>298</v>
      </c>
      <c r="R322" s="414" t="s">
        <v>591</v>
      </c>
      <c r="S322" s="414" t="s">
        <v>339</v>
      </c>
      <c r="T322" s="414" t="s">
        <v>587</v>
      </c>
      <c r="U322" s="414" t="s">
        <v>585</v>
      </c>
      <c r="V322" s="414"/>
      <c r="W322" s="414"/>
      <c r="X322" s="414"/>
      <c r="Y322" s="414"/>
      <c r="Z322" s="414"/>
      <c r="AA322" s="414"/>
      <c r="AB322" s="414"/>
      <c r="AC322" s="414"/>
      <c r="AD322" s="414"/>
      <c r="AE322" s="414"/>
      <c r="AF322" s="414"/>
      <c r="AG322" s="414"/>
      <c r="AH322" s="414"/>
      <c r="AI322" s="414"/>
      <c r="AJ322" s="414"/>
      <c r="AK322" s="414"/>
      <c r="AL322" s="414"/>
      <c r="AM322" s="414"/>
      <c r="AN322" s="418"/>
    </row>
    <row r="323" spans="1:40" ht="10.9" customHeight="1">
      <c r="A323" s="433" t="s">
        <v>747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</row>
    <row r="324" spans="1:40" ht="10.9" customHeight="1">
      <c r="A324" s="433" t="s">
        <v>792</v>
      </c>
    </row>
    <row r="325" spans="1:40" ht="10.9" customHeight="1">
      <c r="A325" s="433" t="s">
        <v>928</v>
      </c>
    </row>
    <row r="326" spans="1:40" ht="10.9" customHeight="1">
      <c r="A326" s="433" t="s">
        <v>1212</v>
      </c>
    </row>
    <row r="327" spans="1:40" ht="10.9" customHeight="1">
      <c r="A327" s="433" t="s">
        <v>1263</v>
      </c>
    </row>
    <row r="328" spans="1:40" ht="10.9" customHeight="1">
      <c r="A328" s="432" t="s">
        <v>1248</v>
      </c>
    </row>
    <row r="329" spans="1:40" ht="10.9" customHeight="1">
      <c r="A329" s="433" t="s">
        <v>1263</v>
      </c>
    </row>
    <row r="330" spans="1:40" ht="10.9" customHeight="1">
      <c r="A330" s="433" t="s">
        <v>755</v>
      </c>
    </row>
    <row r="331" spans="1:40" ht="10.9" customHeight="1">
      <c r="A331" s="433" t="s">
        <v>810</v>
      </c>
    </row>
    <row r="332" spans="1:40" ht="10.9" customHeight="1">
      <c r="A332" s="433" t="s">
        <v>816</v>
      </c>
    </row>
    <row r="333" spans="1:40" ht="10.9" customHeight="1">
      <c r="A333" s="433" t="s">
        <v>672</v>
      </c>
    </row>
    <row r="334" spans="1:40" ht="10.9" customHeight="1">
      <c r="A334" s="433" t="s">
        <v>943</v>
      </c>
    </row>
    <row r="335" spans="1:40" ht="10.9" customHeight="1">
      <c r="A335" s="433" t="s">
        <v>1109</v>
      </c>
    </row>
    <row r="336" spans="1:40" ht="10.9" customHeight="1">
      <c r="A336" s="433" t="s">
        <v>1112</v>
      </c>
    </row>
    <row r="337" spans="1:1" ht="10.9" customHeight="1">
      <c r="A337" s="433" t="s">
        <v>1214</v>
      </c>
    </row>
    <row r="338" spans="1:1" ht="10.9" customHeight="1">
      <c r="A338" s="434" t="s">
        <v>1268</v>
      </c>
    </row>
    <row r="339" spans="1:1" ht="10.9" customHeight="1">
      <c r="A339" s="433" t="s">
        <v>1263</v>
      </c>
    </row>
    <row r="340" spans="1:1" ht="10.9" customHeight="1">
      <c r="A340" s="432" t="s">
        <v>1249</v>
      </c>
    </row>
    <row r="341" spans="1:1" ht="10.9" customHeight="1">
      <c r="A341" s="433" t="s">
        <v>1263</v>
      </c>
    </row>
    <row r="342" spans="1:1" ht="10.9" customHeight="1">
      <c r="A342" s="433" t="s">
        <v>679</v>
      </c>
    </row>
    <row r="343" spans="1:1" ht="10.9" customHeight="1">
      <c r="A343" s="433" t="s">
        <v>859</v>
      </c>
    </row>
    <row r="344" spans="1:1" ht="10.9" customHeight="1">
      <c r="A344" s="433" t="s">
        <v>865</v>
      </c>
    </row>
    <row r="345" spans="1:1" ht="10.9" customHeight="1">
      <c r="A345" s="433" t="s">
        <v>906</v>
      </c>
    </row>
    <row r="346" spans="1:1" ht="10.9" customHeight="1">
      <c r="A346" s="433" t="s">
        <v>975</v>
      </c>
    </row>
    <row r="347" spans="1:1" ht="10.9" customHeight="1">
      <c r="A347" s="434" t="s">
        <v>1269</v>
      </c>
    </row>
    <row r="348" spans="1:1" ht="10.9" customHeight="1">
      <c r="A348" s="433" t="s">
        <v>1263</v>
      </c>
    </row>
    <row r="349" spans="1:1" ht="10.9" customHeight="1">
      <c r="A349" s="432" t="s">
        <v>1250</v>
      </c>
    </row>
    <row r="350" spans="1:1" ht="10.9" customHeight="1">
      <c r="A350" s="433" t="s">
        <v>1263</v>
      </c>
    </row>
    <row r="351" spans="1:1" ht="10.9" customHeight="1">
      <c r="A351" s="433" t="s">
        <v>660</v>
      </c>
    </row>
    <row r="352" spans="1:1" ht="10.9" customHeight="1">
      <c r="A352" s="433" t="s">
        <v>717</v>
      </c>
    </row>
    <row r="353" spans="1:1" ht="10.9" customHeight="1">
      <c r="A353" s="433" t="s">
        <v>726</v>
      </c>
    </row>
    <row r="354" spans="1:1" ht="10.9" customHeight="1">
      <c r="A354" s="433" t="s">
        <v>773</v>
      </c>
    </row>
    <row r="355" spans="1:1" ht="10.9" customHeight="1">
      <c r="A355" s="433" t="s">
        <v>1027</v>
      </c>
    </row>
    <row r="356" spans="1:1" ht="10.9" customHeight="1">
      <c r="A356" s="433" t="s">
        <v>1076</v>
      </c>
    </row>
    <row r="357" spans="1:1" ht="10.9" customHeight="1">
      <c r="A357" s="433" t="s">
        <v>1263</v>
      </c>
    </row>
    <row r="358" spans="1:1" ht="10.9" customHeight="1">
      <c r="A358" s="432" t="s">
        <v>1251</v>
      </c>
    </row>
    <row r="359" spans="1:1" ht="10.9" customHeight="1">
      <c r="A359" s="433" t="s">
        <v>1263</v>
      </c>
    </row>
    <row r="360" spans="1:1" ht="10.9" customHeight="1">
      <c r="A360" s="433" t="s">
        <v>674</v>
      </c>
    </row>
    <row r="361" spans="1:1" ht="10.9" customHeight="1">
      <c r="A361" s="433" t="s">
        <v>787</v>
      </c>
    </row>
    <row r="362" spans="1:1" ht="10.9" customHeight="1">
      <c r="A362" s="433" t="s">
        <v>873</v>
      </c>
    </row>
    <row r="363" spans="1:1" ht="10.9" customHeight="1">
      <c r="A363" s="433" t="s">
        <v>997</v>
      </c>
    </row>
    <row r="364" spans="1:1" ht="10.9" customHeight="1">
      <c r="A364" s="433" t="s">
        <v>1022</v>
      </c>
    </row>
    <row r="365" spans="1:1" ht="10.9" customHeight="1">
      <c r="A365" s="433" t="s">
        <v>1194</v>
      </c>
    </row>
    <row r="366" spans="1:1" ht="10.9" customHeight="1">
      <c r="A366" s="434" t="s">
        <v>1196</v>
      </c>
    </row>
    <row r="367" spans="1:1" ht="10.9" customHeight="1">
      <c r="A367" s="434" t="s">
        <v>1198</v>
      </c>
    </row>
    <row r="368" spans="1:1" ht="10.9" customHeight="1">
      <c r="A368" s="434" t="s">
        <v>1201</v>
      </c>
    </row>
    <row r="369" spans="1:1" ht="10.9" customHeight="1">
      <c r="A369" s="434" t="s">
        <v>1203</v>
      </c>
    </row>
    <row r="370" spans="1:1" ht="10.9" customHeight="1">
      <c r="A370" s="433" t="s">
        <v>1263</v>
      </c>
    </row>
    <row r="371" spans="1:1" ht="10.9" customHeight="1">
      <c r="A371" s="432" t="s">
        <v>1252</v>
      </c>
    </row>
    <row r="372" spans="1:1" ht="10.9" customHeight="1">
      <c r="A372" s="433" t="s">
        <v>1263</v>
      </c>
    </row>
    <row r="373" spans="1:1" ht="10.9" customHeight="1">
      <c r="A373" s="433" t="s">
        <v>938</v>
      </c>
    </row>
    <row r="374" spans="1:1" ht="10.9" customHeight="1">
      <c r="A374" s="433" t="s">
        <v>1014</v>
      </c>
    </row>
    <row r="375" spans="1:1" ht="10.9" customHeight="1">
      <c r="A375" s="433" t="s">
        <v>688</v>
      </c>
    </row>
    <row r="376" spans="1:1" ht="10.9" customHeight="1">
      <c r="A376" s="433" t="s">
        <v>693</v>
      </c>
    </row>
    <row r="377" spans="1:1" ht="10.9" customHeight="1">
      <c r="A377" s="433" t="s">
        <v>1024</v>
      </c>
    </row>
    <row r="378" spans="1:1" ht="10.9" customHeight="1">
      <c r="A378" s="433" t="s">
        <v>668</v>
      </c>
    </row>
    <row r="379" spans="1:1" ht="10.9" customHeight="1">
      <c r="A379" s="433" t="s">
        <v>732</v>
      </c>
    </row>
    <row r="380" spans="1:1" ht="10.9" customHeight="1">
      <c r="A380" s="433" t="s">
        <v>1081</v>
      </c>
    </row>
    <row r="381" spans="1:1" ht="10.9" customHeight="1">
      <c r="A381" s="433" t="s">
        <v>1089</v>
      </c>
    </row>
    <row r="382" spans="1:1" ht="10.9" customHeight="1">
      <c r="A382" s="433" t="s">
        <v>1094</v>
      </c>
    </row>
    <row r="383" spans="1:1" ht="10.9" customHeight="1">
      <c r="A383" s="433" t="s">
        <v>1114</v>
      </c>
    </row>
    <row r="384" spans="1:1" ht="10.9" customHeight="1">
      <c r="A384" s="433" t="s">
        <v>1187</v>
      </c>
    </row>
    <row r="385" spans="1:1" ht="10.9" customHeight="1">
      <c r="A385" s="433" t="s">
        <v>1188</v>
      </c>
    </row>
    <row r="386" spans="1:1" ht="10.9" customHeight="1">
      <c r="A386" s="433" t="s">
        <v>1189</v>
      </c>
    </row>
    <row r="387" spans="1:1" ht="10.9" customHeight="1">
      <c r="A387" s="433" t="s">
        <v>1190</v>
      </c>
    </row>
    <row r="388" spans="1:1" ht="10.9" customHeight="1">
      <c r="A388" s="433" t="s">
        <v>1192</v>
      </c>
    </row>
    <row r="389" spans="1:1" ht="10.9" customHeight="1">
      <c r="A389" s="433" t="s">
        <v>1263</v>
      </c>
    </row>
    <row r="390" spans="1:1" ht="10.9" customHeight="1">
      <c r="A390" s="432" t="s">
        <v>1253</v>
      </c>
    </row>
    <row r="391" spans="1:1" ht="10.9" customHeight="1">
      <c r="A391" s="433" t="s">
        <v>1263</v>
      </c>
    </row>
    <row r="392" spans="1:1" ht="10.9" customHeight="1">
      <c r="A392" s="433" t="s">
        <v>930</v>
      </c>
    </row>
    <row r="393" spans="1:1" ht="10.9" customHeight="1">
      <c r="A393" s="433" t="s">
        <v>965</v>
      </c>
    </row>
    <row r="394" spans="1:1" ht="10.9" customHeight="1">
      <c r="A394" s="433" t="s">
        <v>992</v>
      </c>
    </row>
    <row r="395" spans="1:1" ht="10.9" customHeight="1">
      <c r="A395" s="433" t="s">
        <v>696</v>
      </c>
    </row>
    <row r="396" spans="1:1" ht="10.9" customHeight="1">
      <c r="A396" s="433" t="s">
        <v>1007</v>
      </c>
    </row>
    <row r="397" spans="1:1" ht="10.9" customHeight="1">
      <c r="A397" s="433" t="s">
        <v>1017</v>
      </c>
    </row>
    <row r="398" spans="1:1" ht="10.9" customHeight="1">
      <c r="A398" s="433" t="s">
        <v>1116</v>
      </c>
    </row>
    <row r="399" spans="1:1" ht="10.9" customHeight="1">
      <c r="A399" s="433" t="s">
        <v>1070</v>
      </c>
    </row>
    <row r="400" spans="1:1" ht="10.9" customHeight="1">
      <c r="A400" s="433" t="s">
        <v>737</v>
      </c>
    </row>
    <row r="401" spans="1:1" ht="10.9" customHeight="1">
      <c r="A401" s="433" t="s">
        <v>1210</v>
      </c>
    </row>
    <row r="402" spans="1:1" ht="10.9" customHeight="1">
      <c r="A402" s="433" t="s">
        <v>1263</v>
      </c>
    </row>
    <row r="403" spans="1:1" ht="10.9" customHeight="1">
      <c r="A403" s="432" t="s">
        <v>900</v>
      </c>
    </row>
    <row r="404" spans="1:1" ht="10.9" customHeight="1">
      <c r="A404" s="433" t="s">
        <v>1263</v>
      </c>
    </row>
    <row r="405" spans="1:1" ht="10.9" customHeight="1">
      <c r="A405" s="433" t="s">
        <v>1209</v>
      </c>
    </row>
    <row r="406" spans="1:1" ht="10.9" customHeight="1">
      <c r="A406" s="433" t="s">
        <v>1263</v>
      </c>
    </row>
    <row r="407" spans="1:1" ht="10.9" customHeight="1">
      <c r="A407" s="432" t="s">
        <v>1254</v>
      </c>
    </row>
    <row r="408" spans="1:1" ht="10.9" customHeight="1">
      <c r="A408" s="433" t="s">
        <v>1263</v>
      </c>
    </row>
    <row r="409" spans="1:1" ht="10.9" customHeight="1">
      <c r="A409" s="433" t="s">
        <v>740</v>
      </c>
    </row>
    <row r="410" spans="1:1" ht="10.9" customHeight="1">
      <c r="A410" s="433" t="s">
        <v>1263</v>
      </c>
    </row>
    <row r="411" spans="1:1" ht="10.9" customHeight="1">
      <c r="A411" s="432" t="s">
        <v>1255</v>
      </c>
    </row>
    <row r="412" spans="1:1" ht="10.9" customHeight="1">
      <c r="A412" s="433" t="s">
        <v>1263</v>
      </c>
    </row>
    <row r="413" spans="1:1" ht="10.9" customHeight="1">
      <c r="A413" s="433" t="s">
        <v>1121</v>
      </c>
    </row>
    <row r="414" spans="1:1" ht="10.9" customHeight="1">
      <c r="A414" s="433" t="s">
        <v>1122</v>
      </c>
    </row>
    <row r="415" spans="1:1" ht="10.9" customHeight="1">
      <c r="A415" s="433" t="s">
        <v>1123</v>
      </c>
    </row>
    <row r="416" spans="1:1" ht="10.9" customHeight="1">
      <c r="A416" s="433" t="s">
        <v>1124</v>
      </c>
    </row>
    <row r="417" spans="1:1" ht="10.9" customHeight="1">
      <c r="A417" s="433" t="s">
        <v>1125</v>
      </c>
    </row>
    <row r="418" spans="1:1" ht="10.9" customHeight="1">
      <c r="A418" s="433" t="s">
        <v>1126</v>
      </c>
    </row>
    <row r="419" spans="1:1" ht="10.9" customHeight="1">
      <c r="A419" s="433" t="s">
        <v>1127</v>
      </c>
    </row>
    <row r="420" spans="1:1" ht="10.9" customHeight="1">
      <c r="A420" s="433" t="s">
        <v>1129</v>
      </c>
    </row>
    <row r="421" spans="1:1" ht="10.9" customHeight="1">
      <c r="A421" s="433" t="s">
        <v>1130</v>
      </c>
    </row>
    <row r="422" spans="1:1" ht="10.9" customHeight="1">
      <c r="A422" s="433" t="s">
        <v>1131</v>
      </c>
    </row>
    <row r="423" spans="1:1" ht="10.9" customHeight="1">
      <c r="A423" s="433" t="s">
        <v>1211</v>
      </c>
    </row>
    <row r="424" spans="1:1" ht="10.9" customHeight="1">
      <c r="A424" s="433" t="s">
        <v>1152</v>
      </c>
    </row>
    <row r="425" spans="1:1" ht="10.9" customHeight="1">
      <c r="A425" s="433" t="s">
        <v>1263</v>
      </c>
    </row>
    <row r="426" spans="1:1" ht="10.9" customHeight="1">
      <c r="A426" s="432" t="s">
        <v>1256</v>
      </c>
    </row>
    <row r="427" spans="1:1" ht="10.9" customHeight="1">
      <c r="A427" s="433" t="s">
        <v>1263</v>
      </c>
    </row>
    <row r="428" spans="1:1" ht="10.9" customHeight="1">
      <c r="A428" s="433" t="s">
        <v>970</v>
      </c>
    </row>
    <row r="429" spans="1:1" ht="10.9" customHeight="1">
      <c r="A429" s="433" t="s">
        <v>1035</v>
      </c>
    </row>
    <row r="430" spans="1:1" ht="10.9" customHeight="1">
      <c r="A430" s="433" t="s">
        <v>1040</v>
      </c>
    </row>
    <row r="431" spans="1:1" ht="10.9" customHeight="1">
      <c r="A431" s="433" t="s">
        <v>1049</v>
      </c>
    </row>
    <row r="432" spans="1:1" ht="10.9" customHeight="1">
      <c r="A432" s="433" t="s">
        <v>1055</v>
      </c>
    </row>
    <row r="433" spans="1:1" ht="10.9" customHeight="1">
      <c r="A433" s="433" t="s">
        <v>1263</v>
      </c>
    </row>
    <row r="434" spans="1:1" ht="10.9" customHeight="1">
      <c r="A434" s="432" t="s">
        <v>1257</v>
      </c>
    </row>
    <row r="435" spans="1:1" ht="10.9" customHeight="1">
      <c r="A435" s="433" t="s">
        <v>1263</v>
      </c>
    </row>
    <row r="436" spans="1:1" ht="10.9" customHeight="1">
      <c r="A436" s="433" t="s">
        <v>758</v>
      </c>
    </row>
    <row r="437" spans="1:1" ht="10.9" customHeight="1">
      <c r="A437" s="433" t="s">
        <v>1074</v>
      </c>
    </row>
    <row r="438" spans="1:1" ht="10.9" customHeight="1">
      <c r="A438" s="433" t="s">
        <v>1146</v>
      </c>
    </row>
    <row r="439" spans="1:1" ht="10.9" customHeight="1">
      <c r="A439" s="433" t="s">
        <v>1177</v>
      </c>
    </row>
    <row r="440" spans="1:1" ht="10.9" customHeight="1">
      <c r="A440" s="433" t="s">
        <v>1180</v>
      </c>
    </row>
    <row r="441" spans="1:1" ht="10.9" customHeight="1">
      <c r="A441" s="433" t="s">
        <v>1263</v>
      </c>
    </row>
    <row r="442" spans="1:1" ht="10.9" customHeight="1">
      <c r="A442" s="432" t="s">
        <v>1258</v>
      </c>
    </row>
    <row r="443" spans="1:1" ht="10.9" customHeight="1">
      <c r="A443" s="433" t="s">
        <v>1263</v>
      </c>
    </row>
    <row r="444" spans="1:1" ht="10.9" customHeight="1">
      <c r="A444" s="433" t="s">
        <v>691</v>
      </c>
    </row>
    <row r="445" spans="1:1" ht="10.9" customHeight="1">
      <c r="A445" s="433" t="s">
        <v>701</v>
      </c>
    </row>
    <row r="446" spans="1:1" ht="10.9" customHeight="1">
      <c r="A446" s="433" t="s">
        <v>720</v>
      </c>
    </row>
    <row r="447" spans="1:1" ht="10.9" customHeight="1">
      <c r="A447" s="433" t="s">
        <v>729</v>
      </c>
    </row>
    <row r="448" spans="1:1" ht="10.9" customHeight="1">
      <c r="A448" s="433" t="s">
        <v>735</v>
      </c>
    </row>
    <row r="449" spans="1:1" ht="10.9" customHeight="1">
      <c r="A449" s="433" t="s">
        <v>1065</v>
      </c>
    </row>
    <row r="450" spans="1:1" ht="10.9" customHeight="1">
      <c r="A450" s="433" t="s">
        <v>1263</v>
      </c>
    </row>
    <row r="451" spans="1:1" ht="10.9" customHeight="1">
      <c r="A451" s="432" t="s">
        <v>1259</v>
      </c>
    </row>
    <row r="452" spans="1:1" ht="10.9" customHeight="1">
      <c r="A452" s="433" t="s">
        <v>1263</v>
      </c>
    </row>
    <row r="453" spans="1:1" ht="10.9" customHeight="1">
      <c r="A453" s="433" t="s">
        <v>682</v>
      </c>
    </row>
    <row r="454" spans="1:1" ht="10.9" customHeight="1">
      <c r="A454" s="433" t="s">
        <v>1083</v>
      </c>
    </row>
    <row r="455" spans="1:1" ht="10.9" customHeight="1">
      <c r="A455" s="433" t="s">
        <v>1091</v>
      </c>
    </row>
    <row r="456" spans="1:1" ht="10.9" customHeight="1">
      <c r="A456" s="433" t="s">
        <v>1096</v>
      </c>
    </row>
    <row r="457" spans="1:1" ht="10.9" customHeight="1">
      <c r="A457" s="433" t="s">
        <v>1100</v>
      </c>
    </row>
    <row r="458" spans="1:1" ht="10.9" customHeight="1">
      <c r="A458" s="433" t="s">
        <v>1106</v>
      </c>
    </row>
    <row r="459" spans="1:1" ht="10.9" customHeight="1">
      <c r="A459" s="433" t="s">
        <v>1119</v>
      </c>
    </row>
    <row r="460" spans="1:1" ht="10.9" customHeight="1">
      <c r="A460" s="433" t="s">
        <v>1263</v>
      </c>
    </row>
    <row r="461" spans="1:1" ht="10.9" customHeight="1">
      <c r="A461" s="432" t="s">
        <v>1260</v>
      </c>
    </row>
    <row r="462" spans="1:1" ht="10.9" customHeight="1">
      <c r="A462" s="433" t="s">
        <v>1263</v>
      </c>
    </row>
    <row r="463" spans="1:1" ht="10.9" customHeight="1">
      <c r="A463" s="433" t="s">
        <v>1206</v>
      </c>
    </row>
    <row r="464" spans="1:1" ht="10.9" customHeight="1">
      <c r="A464" s="433" t="s">
        <v>1172</v>
      </c>
    </row>
    <row r="465" spans="1:1" ht="10.9" customHeight="1">
      <c r="A465" s="433" t="s">
        <v>1158</v>
      </c>
    </row>
    <row r="466" spans="1:1" ht="10.9" customHeight="1">
      <c r="A466" s="434" t="s">
        <v>1160</v>
      </c>
    </row>
    <row r="467" spans="1:1" ht="10.9" customHeight="1">
      <c r="A467" s="434" t="s">
        <v>1162</v>
      </c>
    </row>
    <row r="468" spans="1:1" ht="10.9" customHeight="1">
      <c r="A468" s="433" t="s">
        <v>1216</v>
      </c>
    </row>
    <row r="469" spans="1:1" ht="10.9" customHeight="1">
      <c r="A469" s="433" t="s">
        <v>1217</v>
      </c>
    </row>
    <row r="470" spans="1:1" ht="10.9" customHeight="1">
      <c r="A470" s="433" t="s">
        <v>1219</v>
      </c>
    </row>
    <row r="471" spans="1:1" ht="10.9" customHeight="1">
      <c r="A471" s="433" t="s">
        <v>1221</v>
      </c>
    </row>
    <row r="472" spans="1:1" ht="10.9" customHeight="1">
      <c r="A472" s="433" t="s">
        <v>1223</v>
      </c>
    </row>
    <row r="473" spans="1:1" ht="10.9" customHeight="1">
      <c r="A473" s="433" t="s">
        <v>1225</v>
      </c>
    </row>
    <row r="474" spans="1:1" ht="10.9" customHeight="1">
      <c r="A474" s="433" t="s">
        <v>1263</v>
      </c>
    </row>
    <row r="475" spans="1:1" ht="10.9" customHeight="1">
      <c r="A475" s="432" t="s">
        <v>1261</v>
      </c>
    </row>
    <row r="476" spans="1:1" ht="10.9" customHeight="1">
      <c r="A476" s="433" t="s">
        <v>1263</v>
      </c>
    </row>
    <row r="477" spans="1:1" ht="10.9" customHeight="1">
      <c r="A477" s="434" t="s">
        <v>1227</v>
      </c>
    </row>
    <row r="478" spans="1:1" ht="10.9" customHeight="1">
      <c r="A478" s="434" t="s">
        <v>1229</v>
      </c>
    </row>
    <row r="479" spans="1:1" ht="10.9" customHeight="1">
      <c r="A479" s="434" t="s">
        <v>1231</v>
      </c>
    </row>
    <row r="480" spans="1:1" ht="10.9" customHeight="1">
      <c r="A480" s="434" t="s">
        <v>1263</v>
      </c>
    </row>
    <row r="481" spans="1:1" ht="10.9" customHeight="1">
      <c r="A481" s="432" t="s">
        <v>1262</v>
      </c>
    </row>
    <row r="482" spans="1:1" ht="10.9" customHeight="1">
      <c r="A482" s="433" t="s">
        <v>1263</v>
      </c>
    </row>
    <row r="483" spans="1:1" ht="10.9" customHeight="1">
      <c r="A483" s="434" t="s">
        <v>1233</v>
      </c>
    </row>
    <row r="484" spans="1:1" ht="10.9" customHeight="1">
      <c r="A484" s="434" t="s">
        <v>1235</v>
      </c>
    </row>
    <row r="485" spans="1:1" ht="10.9" customHeight="1">
      <c r="A485" s="434" t="s">
        <v>1237</v>
      </c>
    </row>
    <row r="486" spans="1:1" ht="10.9" customHeight="1">
      <c r="A486" s="434" t="s">
        <v>1239</v>
      </c>
    </row>
    <row r="487" spans="1:1" ht="10.9" customHeight="1">
      <c r="A487" s="434" t="s">
        <v>1263</v>
      </c>
    </row>
    <row r="488" spans="1:1" ht="10.9" customHeight="1">
      <c r="A488" s="432" t="s">
        <v>1264</v>
      </c>
    </row>
    <row r="489" spans="1:1" ht="10.9" customHeight="1">
      <c r="A489" s="434" t="s">
        <v>1263</v>
      </c>
    </row>
    <row r="490" spans="1:1" ht="10.9" customHeight="1">
      <c r="A490" s="434" t="s">
        <v>1241</v>
      </c>
    </row>
    <row r="491" spans="1:1" ht="10.9" customHeight="1">
      <c r="A491" s="434" t="s">
        <v>1243</v>
      </c>
    </row>
    <row r="492" spans="1:1" ht="10.9" customHeight="1">
      <c r="A492" s="434" t="s">
        <v>1263</v>
      </c>
    </row>
    <row r="493" spans="1:1" ht="10.9" customHeight="1">
      <c r="A493" s="432" t="s">
        <v>1265</v>
      </c>
    </row>
    <row r="494" spans="1:1" ht="10.9" customHeight="1">
      <c r="A494" s="433" t="s">
        <v>1263</v>
      </c>
    </row>
    <row r="495" spans="1:1" ht="10.9" customHeight="1" thickBot="1">
      <c r="A495" s="435" t="s">
        <v>1246</v>
      </c>
    </row>
    <row r="496" spans="1:1" ht="10.9" customHeight="1">
      <c r="A496"/>
    </row>
    <row r="1048562" ht="12.75" customHeight="1"/>
    <row r="1048563" ht="12.75" customHeight="1"/>
    <row r="1048564" ht="12.75" customHeight="1"/>
    <row r="1048565" ht="12.75" customHeight="1"/>
    <row r="1048566" ht="12.75" customHeight="1"/>
    <row r="1048567" ht="12.75" customHeight="1"/>
    <row r="1048568" ht="12.75" customHeight="1"/>
    <row r="1048569" ht="12.75" customHeight="1"/>
    <row r="1048570" ht="12.75" customHeight="1"/>
    <row r="1048571" ht="12.75" customHeight="1"/>
    <row r="1048572" ht="12.75" customHeight="1"/>
    <row r="1048573" ht="12.75" customHeight="1"/>
    <row r="1048574" ht="12.75" customHeight="1"/>
    <row r="1048575" ht="12.75" customHeight="1"/>
    <row r="1048576" ht="12.75" customHeight="1"/>
  </sheetData>
  <sheetProtection sheet="1" objects="1" scenarios="1" selectLockedCells="1" selectUnlockedCells="1"/>
  <sortState xmlns:xlrd2="http://schemas.microsoft.com/office/spreadsheetml/2017/richdata2" ref="A3:V323">
    <sortCondition ref="A2:A323"/>
  </sortState>
  <pageMargins left="0" right="0" top="0.39410000000000006" bottom="0.39410000000000006" header="0" footer="0"/>
  <pageSetup paperSize="0" fitToWidth="0" fitToHeight="0" pageOrder="overThenDown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29784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BNWCP</vt:lpstr>
      <vt:lpstr>Damage</vt:lpstr>
      <vt:lpstr>Equips</vt:lpstr>
      <vt:lpstr>Desc</vt:lpstr>
      <vt:lpstr>Stats</vt:lpstr>
      <vt:lpstr>Enemies</vt:lpstr>
      <vt:lpstr>Celes_armor</vt:lpstr>
      <vt:lpstr>Celes_espers</vt:lpstr>
      <vt:lpstr>Celes_helmets</vt:lpstr>
      <vt:lpstr>Celes_offhand</vt:lpstr>
      <vt:lpstr>Celes_relics</vt:lpstr>
      <vt:lpstr>Celes_spells</vt:lpstr>
      <vt:lpstr>Celes_weapons</vt:lpstr>
      <vt:lpstr>Cyan_armor</vt:lpstr>
      <vt:lpstr>Cyan_espers</vt:lpstr>
      <vt:lpstr>Cyan_helmets</vt:lpstr>
      <vt:lpstr>Cyan_offhand</vt:lpstr>
      <vt:lpstr>Cyan_relics</vt:lpstr>
      <vt:lpstr>Cyan_spells</vt:lpstr>
      <vt:lpstr>Cyan_weapons</vt:lpstr>
      <vt:lpstr>Edgar_armor</vt:lpstr>
      <vt:lpstr>Edgar_espers</vt:lpstr>
      <vt:lpstr>Edgar_helmets</vt:lpstr>
      <vt:lpstr>Edgar_offhand</vt:lpstr>
      <vt:lpstr>Edgar_relics</vt:lpstr>
      <vt:lpstr>Edgar_spells</vt:lpstr>
      <vt:lpstr>Edgar_weapons</vt:lpstr>
      <vt:lpstr>Gau_armor</vt:lpstr>
      <vt:lpstr>Gau_espers</vt:lpstr>
      <vt:lpstr>Gau_helmets</vt:lpstr>
      <vt:lpstr>Gau_offhand</vt:lpstr>
      <vt:lpstr>Gau_relics</vt:lpstr>
      <vt:lpstr>Gau_spells</vt:lpstr>
      <vt:lpstr>Gau_weapons</vt:lpstr>
      <vt:lpstr>Gogo_armor</vt:lpstr>
      <vt:lpstr>Gogo_espers</vt:lpstr>
      <vt:lpstr>Gogo_helmets</vt:lpstr>
      <vt:lpstr>Gogo_offhand</vt:lpstr>
      <vt:lpstr>Gogo_relics</vt:lpstr>
      <vt:lpstr>Gogo_spells</vt:lpstr>
      <vt:lpstr>Gogo_weapons</vt:lpstr>
      <vt:lpstr>Locke_armor</vt:lpstr>
      <vt:lpstr>Locke_espers</vt:lpstr>
      <vt:lpstr>Locke_helmets</vt:lpstr>
      <vt:lpstr>Locke_offhand</vt:lpstr>
      <vt:lpstr>Locke_relics</vt:lpstr>
      <vt:lpstr>Locke_spells</vt:lpstr>
      <vt:lpstr>Locke_weapons</vt:lpstr>
      <vt:lpstr>Mog_armor</vt:lpstr>
      <vt:lpstr>Mog_espers</vt:lpstr>
      <vt:lpstr>Mog_helmets</vt:lpstr>
      <vt:lpstr>Mog_offhand</vt:lpstr>
      <vt:lpstr>Mog_relics</vt:lpstr>
      <vt:lpstr>Mog_spells</vt:lpstr>
      <vt:lpstr>Mog_weapons</vt:lpstr>
      <vt:lpstr>Relm_armor</vt:lpstr>
      <vt:lpstr>Relm_espers</vt:lpstr>
      <vt:lpstr>Relm_helmets</vt:lpstr>
      <vt:lpstr>Relm_offhand</vt:lpstr>
      <vt:lpstr>Relm_relics</vt:lpstr>
      <vt:lpstr>Relm_spells</vt:lpstr>
      <vt:lpstr>Relm_weapons</vt:lpstr>
      <vt:lpstr>Sabin_armor</vt:lpstr>
      <vt:lpstr>Sabin_espers</vt:lpstr>
      <vt:lpstr>Sabin_helmets</vt:lpstr>
      <vt:lpstr>Sabin_offhand</vt:lpstr>
      <vt:lpstr>Sabin_relics</vt:lpstr>
      <vt:lpstr>Sabin_spells</vt:lpstr>
      <vt:lpstr>Sabin_weapons</vt:lpstr>
      <vt:lpstr>Setzer_armor</vt:lpstr>
      <vt:lpstr>Setzer_espers</vt:lpstr>
      <vt:lpstr>Setzer_helmets</vt:lpstr>
      <vt:lpstr>Setzer_offhand</vt:lpstr>
      <vt:lpstr>Setzer_relics</vt:lpstr>
      <vt:lpstr>Setzer_spells</vt:lpstr>
      <vt:lpstr>Setzer_weapons</vt:lpstr>
      <vt:lpstr>Shadow_armor</vt:lpstr>
      <vt:lpstr>Shadow_espers</vt:lpstr>
      <vt:lpstr>Shadow_helmets</vt:lpstr>
      <vt:lpstr>Shadow_offhand</vt:lpstr>
      <vt:lpstr>Shadow_relics</vt:lpstr>
      <vt:lpstr>Shadow_spells</vt:lpstr>
      <vt:lpstr>Shadow_weapons</vt:lpstr>
      <vt:lpstr>Strago_armor</vt:lpstr>
      <vt:lpstr>Strago_espers</vt:lpstr>
      <vt:lpstr>Strago_helmets</vt:lpstr>
      <vt:lpstr>Strago_offhand</vt:lpstr>
      <vt:lpstr>Strago_relics</vt:lpstr>
      <vt:lpstr>Strago_spells</vt:lpstr>
      <vt:lpstr>Strago_weapons</vt:lpstr>
      <vt:lpstr>Terra_armor</vt:lpstr>
      <vt:lpstr>Terra_espers</vt:lpstr>
      <vt:lpstr>Terra_helmets</vt:lpstr>
      <vt:lpstr>Terra_offhand</vt:lpstr>
      <vt:lpstr>Terra_relics</vt:lpstr>
      <vt:lpstr>Terra_spells</vt:lpstr>
      <vt:lpstr>Terra_weapons</vt:lpstr>
      <vt:lpstr>Umaro_armor</vt:lpstr>
      <vt:lpstr>Umaro_espers</vt:lpstr>
      <vt:lpstr>Umaro_helmets</vt:lpstr>
      <vt:lpstr>Umaro_offhand</vt:lpstr>
      <vt:lpstr>Umaro_relics</vt:lpstr>
      <vt:lpstr>Umaro_spells</vt:lpstr>
      <vt:lpstr>Umaro_weapons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NCC Houston</cp:lastModifiedBy>
  <cp:revision>866</cp:revision>
  <dcterms:created xsi:type="dcterms:W3CDTF">2019-01-27T08:09:26Z</dcterms:created>
  <dcterms:modified xsi:type="dcterms:W3CDTF">2021-09-21T16:17:04Z</dcterms:modified>
</cp:coreProperties>
</file>